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Shee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<sst xmlns="http://schemas.openxmlformats.org/spreadsheetml/2006/main" uniqueCount="42">
  <si>
    <t>I am Title!</t>
  </si>
  <si>
    <t>SD</t>
  </si>
  <si>
    <t>RSM</t>
  </si>
  <si>
    <t>Province</t>
  </si>
  <si>
    <t>City</t>
  </si>
  <si>
    <t>LE KL</t>
  </si>
  <si>
    <t>Market size KL(this year)</t>
  </si>
  <si>
    <t>Market Share %</t>
  </si>
  <si>
    <t>Market size KL(last year)</t>
  </si>
  <si>
    <t>Market Growth %</t>
  </si>
  <si>
    <t>Platform</t>
  </si>
  <si>
    <t>Market Share Score</t>
  </si>
  <si>
    <t>Market Growth Score</t>
  </si>
  <si>
    <t>Platform Score</t>
  </si>
  <si>
    <t>Market Share Score(0.75)</t>
  </si>
  <si>
    <t>Market Growth Score(0.15)</t>
  </si>
  <si>
    <t>Platform Score(0.1)</t>
  </si>
  <si>
    <t>Total Score</t>
  </si>
  <si>
    <t>Increase %</t>
  </si>
  <si>
    <t>Ref Target KL</t>
  </si>
  <si>
    <t>Target KL</t>
  </si>
  <si>
    <t>兰中</t>
  </si>
  <si>
    <t>北京</t>
  </si>
  <si>
    <t>兰中1</t>
  </si>
  <si>
    <t>兰中2</t>
  </si>
  <si>
    <t>兰中3</t>
  </si>
  <si>
    <t>兰中4</t>
  </si>
  <si>
    <t>兰中5</t>
  </si>
  <si>
    <t>兰中6</t>
  </si>
  <si>
    <t>兰中7</t>
  </si>
  <si>
    <t>兰中8</t>
  </si>
  <si>
    <t>兰中9</t>
  </si>
  <si>
    <t>兰中10</t>
  </si>
  <si>
    <t>兰中11</t>
  </si>
  <si>
    <t>兰中12</t>
  </si>
  <si>
    <t>兰中13</t>
  </si>
  <si>
    <t>兰中14</t>
  </si>
  <si>
    <t>兰中15</t>
  </si>
  <si>
    <t>兰中16</t>
  </si>
  <si>
    <t>Sum Total</t>
  </si>
  <si>
    <t>N/A</t>
  </si>
  <si>
    <t>Target From Global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</si>
</sst>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000000"/>
      <sz val="14"/>
    </font>
    <font>
      <name val="Microsoft YaHei"/>
      <b val="1"/>
      <color rgb="00000000"/>
      <sz val="10"/>
    </font>
    <font>
      <name val="Microsoft YaHe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ff1ce"/>
      </patternFill>
    </fill>
    <fill>
      <patternFill patternType="solid">
        <fgColor rgb="00e6e6e6"/>
      </patternFill>
    </fill>
    <fill>
      <patternFill patternType="solid">
        <fgColor rgb="004674c1"/>
      </patternFill>
    </fill>
  </fills>
  <borders count="22">
    <border>
      <left/>
      <right/>
      <top/>
      <bottom/>
      <diagonal/>
    </border>
    <border>
      <right/>
      <top/>
      <bottom/>
      <diagonal/>
    </border>
    <border>
      <left style="thin">
        <color rgb="008e8d8d"/>
      </left>
      <right style="thin">
        <color rgb="008e8d8d"/>
      </right>
      <top style="thin">
        <color rgb="008e8d8d"/>
      </top>
      <bottom style="thin">
        <color rgb="008e8d8d"/>
      </bottom>
      <diagonal/>
    </border>
    <border>
      <left style="thin">
        <color rgb="008e8d8d"/>
      </left>
      <right style="thin">
        <color rgb="008e8d8d"/>
      </right>
      <top style="double">
        <color rgb="00000000"/>
      </top>
      <bottom style="thin">
        <color rgb="008e8d8d"/>
      </bottom>
      <diagonal/>
    </border>
    <border>
      <left/>
      <right/>
      <top style="double">
        <color rgb="00000000"/>
      </top>
      <bottom/>
      <diagonal/>
    </border>
    <border>
      <left/>
      <right/>
      <top style="double">
        <color rgb="00000000"/>
      </top>
      <bottom style="thin">
        <color rgb="008e8d8d"/>
      </bottom>
      <diagonal/>
    </border>
    <border>
      <left/>
      <right style="thin">
        <color rgb="008e8d8d"/>
      </right>
      <top style="double">
        <color rgb="00000000"/>
      </top>
      <bottom style="thin">
        <color rgb="008e8d8d"/>
      </bottom>
      <diagonal/>
    </border>
    <border>
      <left/>
      <right/>
      <top style="thin">
        <color rgb="008e8d8d"/>
      </top>
      <bottom/>
      <diagonal/>
    </border>
    <border>
      <left/>
      <right/>
      <top style="thin">
        <color rgb="008e8d8d"/>
      </top>
      <bottom style="thin">
        <color rgb="008e8d8d"/>
      </bottom>
      <diagonal/>
    </border>
    <border>
      <left/>
      <right style="thin">
        <color rgb="008e8d8d"/>
      </right>
      <top style="thin">
        <color rgb="008e8d8d"/>
      </top>
      <bottom style="thin">
        <color rgb="008e8d8d"/>
      </bottom>
      <diagonal/>
    </border>
    <border>
      <left style="thin">
        <color rgb="008e8d8d"/>
      </left>
      <right style="thin">
        <color rgb="008e8d8d"/>
      </right>
      <top style="thick">
        <color rgb="00000000"/>
      </top>
      <bottom style="thin">
        <color rgb="008e8d8d"/>
      </bottom>
      <diagonal/>
    </border>
    <border>
      <left style="thin">
        <color rgb="008e8d8d"/>
      </left>
      <right style="thin">
        <color rgb="008e8d8d"/>
      </right>
      <top style="thin">
        <color rgb="008e8d8d"/>
      </top>
      <bottom style="thick">
        <color rgb="00000000"/>
      </bottom>
      <diagonal/>
    </border>
    <border>
      <left/>
      <right/>
      <top style="thin">
        <color rgb="008e8d8d"/>
      </top>
      <bottom style="thick">
        <color rgb="00000000"/>
      </bottom>
      <diagonal/>
    </border>
    <border>
      <left/>
      <right style="thin">
        <color rgb="008e8d8d"/>
      </right>
      <top style="thin">
        <color rgb="008e8d8d"/>
      </top>
      <bottom style="thick">
        <color rgb="00000000"/>
      </bottom>
      <diagonal/>
    </border>
    <border>
      <left style="thick">
        <color rgb="00000000"/>
      </left>
      <right style="thin">
        <color rgb="008e8d8d"/>
      </right>
      <top style="thick">
        <color rgb="00000000"/>
      </top>
      <bottom style="thin">
        <color rgb="008e8d8d"/>
      </bottom>
      <diagonal/>
    </border>
    <border>
      <left style="thin">
        <color rgb="008e8d8d"/>
      </left>
      <right style="thick">
        <color rgb="00000000"/>
      </right>
      <top style="thick">
        <color rgb="00000000"/>
      </top>
      <bottom style="thin">
        <color rgb="008e8d8d"/>
      </bottom>
      <diagonal/>
    </border>
    <border>
      <left style="thick">
        <color rgb="00000000"/>
      </left>
      <right style="thin">
        <color rgb="008e8d8d"/>
      </right>
      <top style="thin">
        <color rgb="008e8d8d"/>
      </top>
      <bottom style="thin">
        <color rgb="008e8d8d"/>
      </bottom>
      <diagonal/>
    </border>
    <border>
      <left style="thin">
        <color rgb="008e8d8d"/>
      </left>
      <right style="thick">
        <color rgb="00000000"/>
      </right>
      <top style="thin">
        <color rgb="008e8d8d"/>
      </top>
      <bottom style="thin">
        <color rgb="008e8d8d"/>
      </bottom>
      <diagonal/>
    </border>
    <border>
      <left style="thick">
        <color rgb="00000000"/>
      </left>
      <right style="thin">
        <color rgb="008e8d8d"/>
      </right>
      <top style="double">
        <color rgb="00000000"/>
      </top>
      <bottom style="thin">
        <color rgb="008e8d8d"/>
      </bottom>
      <diagonal/>
    </border>
    <border>
      <left style="thin">
        <color rgb="008e8d8d"/>
      </left>
      <right style="thick">
        <color rgb="00000000"/>
      </right>
      <top style="double">
        <color rgb="00000000"/>
      </top>
      <bottom style="thin">
        <color rgb="008e8d8d"/>
      </bottom>
      <diagonal/>
    </border>
    <border>
      <left style="thick">
        <color rgb="00000000"/>
      </left>
      <right style="thin">
        <color rgb="008e8d8d"/>
      </right>
      <top style="thin">
        <color rgb="008e8d8d"/>
      </top>
      <bottom style="thick">
        <color rgb="00000000"/>
      </bottom>
      <diagonal/>
    </border>
    <border>
      <left style="thin">
        <color rgb="008e8d8d"/>
      </left>
      <right style="thick">
        <color rgb="00000000"/>
      </right>
      <top style="thin">
        <color rgb="008e8d8d"/>
      </top>
      <bottom style="thick">
        <color rgb="00000000"/>
      </bottom>
      <diagonal/>
    </border>
  </borders>
  <cellStyleXfs count="1">
    <xf borderId="0" fillId="0" fontId="0" numFmtId="0"/>
  </cellStyleXfs>
  <cellXfs count="24">
    <xf borderId="0" fillId="0" fontId="0" numFmtId="0" pivotButton="0" quotePrefix="0" xfId="0"/>
    <xf applyAlignment="1" borderId="1" fillId="2" fontId="1" numFmtId="0" pivotButton="0" quotePrefix="0" xfId="0">
      <alignment horizontal="left"/>
    </xf>
    <xf applyAlignment="1" borderId="14" fillId="2" fontId="2" numFmtId="0" pivotButton="0" quotePrefix="0" xfId="0">
      <alignment horizontal="left" vertical="center" wrapText="1"/>
    </xf>
    <xf applyAlignment="1" borderId="10" fillId="2" fontId="2" numFmtId="0" pivotButton="0" quotePrefix="0" xfId="0">
      <alignment horizontal="left" vertical="center" wrapText="1"/>
    </xf>
    <xf applyAlignment="1" borderId="10" fillId="2" fontId="2" numFmtId="0" pivotButton="0" quotePrefix="0" xfId="0">
      <alignment horizontal="center" vertical="center" wrapText="1"/>
    </xf>
    <xf applyAlignment="1" borderId="15" fillId="2" fontId="2" numFmtId="0" pivotButton="0" quotePrefix="0" xfId="0">
      <alignment horizontal="center" vertical="center" wrapText="1"/>
    </xf>
    <xf applyAlignment="1" borderId="16" fillId="2" fontId="3" numFmtId="0" pivotButton="0" quotePrefix="0" xfId="0">
      <alignment horizontal="left" vertical="center" wrapText="1"/>
    </xf>
    <xf applyAlignment="1" borderId="2" fillId="2" fontId="3" numFmtId="0" pivotButton="0" quotePrefix="0" xfId="0">
      <alignment horizontal="left" vertical="center" wrapText="1"/>
    </xf>
    <xf applyAlignment="1" borderId="2" fillId="3" fontId="3" numFmtId="0" pivotButton="0" quotePrefix="0" xfId="0">
      <alignment horizontal="center" vertical="center" wrapText="1"/>
    </xf>
    <xf applyAlignment="1" borderId="2" fillId="4" fontId="3" numFmtId="10" pivotButton="0" quotePrefix="0" xfId="0">
      <alignment horizontal="right" vertical="center" wrapText="1"/>
    </xf>
    <xf applyAlignment="1" borderId="2" fillId="4" fontId="3" numFmtId="0" pivotButton="0" quotePrefix="0" xfId="0">
      <alignment horizontal="right" vertical="center" wrapText="1"/>
    </xf>
    <xf applyAlignment="1" borderId="17" fillId="2" fontId="3" numFmtId="0" pivotButton="0" quotePrefix="0" xfId="0">
      <alignment horizontal="center" vertical="center" wrapText="1"/>
    </xf>
    <xf applyAlignment="1" borderId="18" fillId="2" fontId="2" numFmtId="0" pivotButton="0" quotePrefix="0" xfId="0">
      <alignment horizontal="left" vertical="center" wrapText="1"/>
    </xf>
    <xf borderId="5" fillId="2" fontId="0" numFmtId="0" pivotButton="0" quotePrefix="0" xfId="0"/>
    <xf borderId="6" fillId="2" fontId="0" numFmtId="0" pivotButton="0" quotePrefix="0" xfId="0"/>
    <xf applyAlignment="1" borderId="3" fillId="4" fontId="2" numFmtId="0" pivotButton="0" quotePrefix="0" xfId="0">
      <alignment horizontal="right" vertical="center" wrapText="1"/>
    </xf>
    <xf applyAlignment="1" borderId="3" fillId="4" fontId="2" numFmtId="10" pivotButton="0" quotePrefix="0" xfId="0">
      <alignment horizontal="right" vertical="center" wrapText="1"/>
    </xf>
    <xf applyAlignment="1" borderId="19" fillId="4" fontId="2" numFmtId="0" pivotButton="0" quotePrefix="0" xfId="0">
      <alignment horizontal="right" vertical="center" wrapText="1"/>
    </xf>
    <xf applyAlignment="1" borderId="20" fillId="2" fontId="2" numFmtId="0" pivotButton="0" quotePrefix="0" xfId="0">
      <alignment horizontal="left" vertical="center" wrapText="1"/>
    </xf>
    <xf borderId="12" fillId="2" fontId="0" numFmtId="0" pivotButton="0" quotePrefix="0" xfId="0"/>
    <xf borderId="13" fillId="2" fontId="0" numFmtId="0" pivotButton="0" quotePrefix="0" xfId="0"/>
    <xf applyAlignment="1" borderId="11" fillId="2" fontId="3" numFmtId="0" pivotButton="0" quotePrefix="0" xfId="0">
      <alignment horizontal="right" vertical="center" wrapText="1"/>
    </xf>
    <xf applyAlignment="1" borderId="11" fillId="5" fontId="2" numFmtId="0" pivotButton="0" quotePrefix="0" xfId="0">
      <alignment horizontal="right" vertical="center" wrapText="1"/>
    </xf>
    <xf applyAlignment="1" borderId="21" fillId="5" fontId="2" numFmtId="0" pivotButton="0" quotePrefix="0" xfId="0">
      <alignment horizontal="right" vertical="center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showGridLines="0" workbookViewId="0">
      <selection activeCell="A1" sqref="A1"/>
    </sheetView>
  </sheetViews>
  <sheetFormatPr baseColWidth="8" defaultRowHeight="15" outlineLevelCol="0"/>
  <cols>
    <col customWidth="1" max="1" min="1" width="16"/>
    <col customWidth="1" max="2" min="2" width="16"/>
    <col customWidth="1" max="3" min="3" width="16"/>
    <col customWidth="1" max="4" min="4" width="16"/>
    <col customWidth="1" max="5" min="5" width="16"/>
    <col customWidth="1" max="6" min="6" width="16"/>
    <col customWidth="1" max="7" min="7" width="16"/>
    <col customWidth="1" max="8" min="8" width="16"/>
    <col customWidth="1" max="9" min="9" width="16"/>
    <col customWidth="1" max="10" min="10" width="16"/>
    <col customWidth="1" max="11" min="11" width="16"/>
    <col customWidth="1" max="12" min="12" width="16"/>
    <col customWidth="1" max="13" min="13" width="16"/>
    <col customWidth="1" max="14" min="14" width="16"/>
    <col customWidth="1" max="15" min="15" width="16"/>
    <col customWidth="1" max="16" min="16" width="16"/>
    <col customWidth="1" max="17" min="17" width="16"/>
    <col customWidth="1" max="18" min="18" width="16"/>
    <col customWidth="1" max="19" min="19" width="16"/>
    <col customWidth="1" max="20" min="20" width="16"/>
    <col customWidth="1" max="21" min="21" width="16"/>
  </cols>
  <sheetData>
    <row r="1" spans="1:21"/>
    <row r="2" spans="1:21">
      <c r="B2" s="1" t="s">
        <v>0</v>
      </c>
    </row>
    <row r="3" spans="1:21">
      <c r="B3" s="2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4" t="s">
        <v>17</v>
      </c>
      <c r="S3" s="4" t="s">
        <v>18</v>
      </c>
      <c r="T3" s="4" t="s">
        <v>19</v>
      </c>
      <c r="U3" s="5" t="s">
        <v>20</v>
      </c>
    </row>
    <row r="4" spans="1:21">
      <c r="B4" s="6" t="s">
        <v>21</v>
      </c>
      <c r="C4" s="7" t="s">
        <v>21</v>
      </c>
      <c r="D4" s="7" t="s">
        <v>22</v>
      </c>
      <c r="E4" s="7" t="s">
        <v>22</v>
      </c>
      <c r="F4" s="8" t="n">
        <v>758</v>
      </c>
      <c r="G4" s="8" t="n">
        <v>6905</v>
      </c>
      <c r="H4" s="9">
        <f>F4/G4</f>
        <v/>
      </c>
      <c r="I4" s="8" t="n">
        <v>5744</v>
      </c>
      <c r="J4" s="9">
        <f>G4/I4-1</f>
        <v/>
      </c>
      <c r="K4" s="8" t="n">
        <v>5</v>
      </c>
      <c r="L4" s="10">
        <f>IF(H4&lt;0.301, 5, IF(H4&lt;0.73, 4, IF(H4&lt;1.633,3, IF(H4&lt;2.168, 2, 1))))</f>
        <v/>
      </c>
      <c r="M4" s="10">
        <f>IF(J4&lt;-0.682, 5, IF(J4&lt;-0.285, 4, IF(J4&lt;-0.048,3, IF(J4&lt;0.527, 2, 1))))</f>
        <v/>
      </c>
      <c r="N4" s="10">
        <f>K4</f>
        <v/>
      </c>
      <c r="O4" s="10">
        <f>L4*0.75</f>
        <v/>
      </c>
      <c r="P4" s="10">
        <f>M4*0.15</f>
        <v/>
      </c>
      <c r="Q4" s="10">
        <f>N4*0.1</f>
        <v/>
      </c>
      <c r="R4" s="10">
        <f>SUM(O4:Q4)</f>
        <v/>
      </c>
      <c r="S4" s="9">
        <f>R4*(T22-F21)/SUMPRODUCT(F4:F20,R4:R20)</f>
        <v/>
      </c>
      <c r="T4" s="10">
        <f>F4*(1+S4)</f>
        <v/>
      </c>
      <c r="U4" s="11" t="s"/>
    </row>
    <row r="5" spans="1:21">
      <c r="B5" s="6" t="s">
        <v>23</v>
      </c>
      <c r="C5" s="7" t="s">
        <v>21</v>
      </c>
      <c r="D5" s="7" t="s">
        <v>22</v>
      </c>
      <c r="E5" s="7" t="s">
        <v>22</v>
      </c>
      <c r="F5" s="8" t="n">
        <v>2983</v>
      </c>
      <c r="G5" s="8" t="n">
        <v>138</v>
      </c>
      <c r="H5" s="9">
        <f>F5/G5</f>
        <v/>
      </c>
      <c r="I5" s="8" t="n">
        <v>3276</v>
      </c>
      <c r="J5" s="9">
        <f>G5/I5-1</f>
        <v/>
      </c>
      <c r="K5" s="8" t="n">
        <v>5</v>
      </c>
      <c r="L5" s="10">
        <f>IF(H5&lt;0.301, 5, IF(H5&lt;0.73, 4, IF(H5&lt;1.633,3, IF(H5&lt;2.168, 2, 1))))</f>
        <v/>
      </c>
      <c r="M5" s="10">
        <f>IF(J5&lt;-0.682, 5, IF(J5&lt;-0.285, 4, IF(J5&lt;-0.048,3, IF(J5&lt;0.527, 2, 1))))</f>
        <v/>
      </c>
      <c r="N5" s="10">
        <f>K5</f>
        <v/>
      </c>
      <c r="O5" s="10">
        <f>L5*0.75</f>
        <v/>
      </c>
      <c r="P5" s="10">
        <f>M5*0.15</f>
        <v/>
      </c>
      <c r="Q5" s="10">
        <f>N5*0.1</f>
        <v/>
      </c>
      <c r="R5" s="10">
        <f>SUM(O5:Q5)</f>
        <v/>
      </c>
      <c r="S5" s="9">
        <f>R5*(T22-F21)/SUMPRODUCT(F4:F20,R4:R20)</f>
        <v/>
      </c>
      <c r="T5" s="10">
        <f>F5*(1+S5)</f>
        <v/>
      </c>
      <c r="U5" s="11" t="s"/>
    </row>
    <row r="6" spans="1:21">
      <c r="B6" s="6" t="s">
        <v>24</v>
      </c>
      <c r="C6" s="7" t="s">
        <v>21</v>
      </c>
      <c r="D6" s="7" t="s">
        <v>22</v>
      </c>
      <c r="E6" s="7" t="s">
        <v>22</v>
      </c>
      <c r="F6" s="8" t="n">
        <v>1727</v>
      </c>
      <c r="G6" s="8" t="n">
        <v>917</v>
      </c>
      <c r="H6" s="9">
        <f>F6/G6</f>
        <v/>
      </c>
      <c r="I6" s="8" t="n">
        <v>2194</v>
      </c>
      <c r="J6" s="9">
        <f>G6/I6-1</f>
        <v/>
      </c>
      <c r="K6" s="8" t="n">
        <v>5</v>
      </c>
      <c r="L6" s="10">
        <f>IF(H6&lt;0.301, 5, IF(H6&lt;0.73, 4, IF(H6&lt;1.633,3, IF(H6&lt;2.168, 2, 1))))</f>
        <v/>
      </c>
      <c r="M6" s="10">
        <f>IF(J6&lt;-0.682, 5, IF(J6&lt;-0.285, 4, IF(J6&lt;-0.048,3, IF(J6&lt;0.527, 2, 1))))</f>
        <v/>
      </c>
      <c r="N6" s="10">
        <f>K6</f>
        <v/>
      </c>
      <c r="O6" s="10">
        <f>L6*0.75</f>
        <v/>
      </c>
      <c r="P6" s="10">
        <f>M6*0.15</f>
        <v/>
      </c>
      <c r="Q6" s="10">
        <f>N6*0.1</f>
        <v/>
      </c>
      <c r="R6" s="10">
        <f>SUM(O6:Q6)</f>
        <v/>
      </c>
      <c r="S6" s="9">
        <f>R6*(T22-F21)/SUMPRODUCT(F4:F20,R4:R20)</f>
        <v/>
      </c>
      <c r="T6" s="10">
        <f>F6*(1+S6)</f>
        <v/>
      </c>
      <c r="U6" s="11" t="s"/>
    </row>
    <row r="7" spans="1:21">
      <c r="B7" s="6" t="s">
        <v>25</v>
      </c>
      <c r="C7" s="7" t="s">
        <v>21</v>
      </c>
      <c r="D7" s="7" t="s">
        <v>22</v>
      </c>
      <c r="E7" s="7" t="s">
        <v>22</v>
      </c>
      <c r="F7" s="8" t="n">
        <v>7830</v>
      </c>
      <c r="G7" s="8" t="n">
        <v>1085</v>
      </c>
      <c r="H7" s="9">
        <f>F7/G7</f>
        <v/>
      </c>
      <c r="I7" s="8" t="n">
        <v>4845</v>
      </c>
      <c r="J7" s="9">
        <f>G7/I7-1</f>
        <v/>
      </c>
      <c r="K7" s="8" t="n">
        <v>5</v>
      </c>
      <c r="L7" s="10">
        <f>IF(H7&lt;0.301, 5, IF(H7&lt;0.73, 4, IF(H7&lt;1.633,3, IF(H7&lt;2.168, 2, 1))))</f>
        <v/>
      </c>
      <c r="M7" s="10">
        <f>IF(J7&lt;-0.682, 5, IF(J7&lt;-0.285, 4, IF(J7&lt;-0.048,3, IF(J7&lt;0.527, 2, 1))))</f>
        <v/>
      </c>
      <c r="N7" s="10">
        <f>K7</f>
        <v/>
      </c>
      <c r="O7" s="10">
        <f>L7*0.75</f>
        <v/>
      </c>
      <c r="P7" s="10">
        <f>M7*0.15</f>
        <v/>
      </c>
      <c r="Q7" s="10">
        <f>N7*0.1</f>
        <v/>
      </c>
      <c r="R7" s="10">
        <f>SUM(O7:Q7)</f>
        <v/>
      </c>
      <c r="S7" s="9">
        <f>R7*(T22-F21)/SUMPRODUCT(F4:F20,R4:R20)</f>
        <v/>
      </c>
      <c r="T7" s="10">
        <f>F7*(1+S7)</f>
        <v/>
      </c>
      <c r="U7" s="11" t="s"/>
    </row>
    <row r="8" spans="1:21">
      <c r="B8" s="6" t="s">
        <v>26</v>
      </c>
      <c r="C8" s="7" t="s">
        <v>21</v>
      </c>
      <c r="D8" s="7" t="s">
        <v>22</v>
      </c>
      <c r="E8" s="7" t="s">
        <v>22</v>
      </c>
      <c r="F8" s="8" t="n">
        <v>2365</v>
      </c>
      <c r="G8" s="8" t="n">
        <v>1091</v>
      </c>
      <c r="H8" s="9">
        <f>F8/G8</f>
        <v/>
      </c>
      <c r="I8" s="8" t="n">
        <v>2549</v>
      </c>
      <c r="J8" s="9">
        <f>G8/I8-1</f>
        <v/>
      </c>
      <c r="K8" s="8" t="n">
        <v>5</v>
      </c>
      <c r="L8" s="10">
        <f>IF(H8&lt;0.301, 5, IF(H8&lt;0.73, 4, IF(H8&lt;1.633,3, IF(H8&lt;2.168, 2, 1))))</f>
        <v/>
      </c>
      <c r="M8" s="10">
        <f>IF(J8&lt;-0.682, 5, IF(J8&lt;-0.285, 4, IF(J8&lt;-0.048,3, IF(J8&lt;0.527, 2, 1))))</f>
        <v/>
      </c>
      <c r="N8" s="10">
        <f>K8</f>
        <v/>
      </c>
      <c r="O8" s="10">
        <f>L8*0.75</f>
        <v/>
      </c>
      <c r="P8" s="10">
        <f>M8*0.15</f>
        <v/>
      </c>
      <c r="Q8" s="10">
        <f>N8*0.1</f>
        <v/>
      </c>
      <c r="R8" s="10">
        <f>SUM(O8:Q8)</f>
        <v/>
      </c>
      <c r="S8" s="9">
        <f>R8*(T22-F21)/SUMPRODUCT(F4:F20,R4:R20)</f>
        <v/>
      </c>
      <c r="T8" s="10">
        <f>F8*(1+S8)</f>
        <v/>
      </c>
      <c r="U8" s="11" t="s"/>
    </row>
    <row r="9" spans="1:21">
      <c r="B9" s="6" t="s">
        <v>27</v>
      </c>
      <c r="C9" s="7" t="s">
        <v>21</v>
      </c>
      <c r="D9" s="7" t="s">
        <v>22</v>
      </c>
      <c r="E9" s="7" t="s">
        <v>22</v>
      </c>
      <c r="F9" s="8" t="n">
        <v>2771</v>
      </c>
      <c r="G9" s="8" t="n">
        <v>4233</v>
      </c>
      <c r="H9" s="9">
        <f>F9/G9</f>
        <v/>
      </c>
      <c r="I9" s="8" t="n">
        <v>2199</v>
      </c>
      <c r="J9" s="9">
        <f>G9/I9-1</f>
        <v/>
      </c>
      <c r="K9" s="8" t="n">
        <v>5</v>
      </c>
      <c r="L9" s="10">
        <f>IF(H9&lt;0.301, 5, IF(H9&lt;0.73, 4, IF(H9&lt;1.633,3, IF(H9&lt;2.168, 2, 1))))</f>
        <v/>
      </c>
      <c r="M9" s="10">
        <f>IF(J9&lt;-0.682, 5, IF(J9&lt;-0.285, 4, IF(J9&lt;-0.048,3, IF(J9&lt;0.527, 2, 1))))</f>
        <v/>
      </c>
      <c r="N9" s="10">
        <f>K9</f>
        <v/>
      </c>
      <c r="O9" s="10">
        <f>L9*0.75</f>
        <v/>
      </c>
      <c r="P9" s="10">
        <f>M9*0.15</f>
        <v/>
      </c>
      <c r="Q9" s="10">
        <f>N9*0.1</f>
        <v/>
      </c>
      <c r="R9" s="10">
        <f>SUM(O9:Q9)</f>
        <v/>
      </c>
      <c r="S9" s="9">
        <f>R9*(T22-F21)/SUMPRODUCT(F4:F20,R4:R20)</f>
        <v/>
      </c>
      <c r="T9" s="10">
        <f>F9*(1+S9)</f>
        <v/>
      </c>
      <c r="U9" s="11" t="s"/>
    </row>
    <row r="10" spans="1:21">
      <c r="B10" s="6" t="s">
        <v>28</v>
      </c>
      <c r="C10" s="7" t="s">
        <v>21</v>
      </c>
      <c r="D10" s="7" t="s">
        <v>22</v>
      </c>
      <c r="E10" s="7" t="s">
        <v>22</v>
      </c>
      <c r="F10" s="8" t="n">
        <v>1116</v>
      </c>
      <c r="G10" s="8" t="n">
        <v>1321</v>
      </c>
      <c r="H10" s="9">
        <f>F10/G10</f>
        <v/>
      </c>
      <c r="I10" s="8" t="n">
        <v>8546</v>
      </c>
      <c r="J10" s="9">
        <f>G10/I10-1</f>
        <v/>
      </c>
      <c r="K10" s="8" t="n">
        <v>5</v>
      </c>
      <c r="L10" s="10">
        <f>IF(H10&lt;0.301, 5, IF(H10&lt;0.73, 4, IF(H10&lt;1.633,3, IF(H10&lt;2.168, 2, 1))))</f>
        <v/>
      </c>
      <c r="M10" s="10">
        <f>IF(J10&lt;-0.682, 5, IF(J10&lt;-0.285, 4, IF(J10&lt;-0.048,3, IF(J10&lt;0.527, 2, 1))))</f>
        <v/>
      </c>
      <c r="N10" s="10">
        <f>K10</f>
        <v/>
      </c>
      <c r="O10" s="10">
        <f>L10*0.75</f>
        <v/>
      </c>
      <c r="P10" s="10">
        <f>M10*0.15</f>
        <v/>
      </c>
      <c r="Q10" s="10">
        <f>N10*0.1</f>
        <v/>
      </c>
      <c r="R10" s="10">
        <f>SUM(O10:Q10)</f>
        <v/>
      </c>
      <c r="S10" s="9">
        <f>R10*(T22-F21)/SUMPRODUCT(F4:F20,R4:R20)</f>
        <v/>
      </c>
      <c r="T10" s="10">
        <f>F10*(1+S10)</f>
        <v/>
      </c>
      <c r="U10" s="11" t="s"/>
    </row>
    <row r="11" spans="1:21">
      <c r="B11" s="6" t="s">
        <v>29</v>
      </c>
      <c r="C11" s="7" t="s">
        <v>21</v>
      </c>
      <c r="D11" s="7" t="s">
        <v>22</v>
      </c>
      <c r="E11" s="7" t="s">
        <v>22</v>
      </c>
      <c r="F11" s="8" t="n">
        <v>1160</v>
      </c>
      <c r="G11" s="8" t="n">
        <v>4551</v>
      </c>
      <c r="H11" s="9">
        <f>F11/G11</f>
        <v/>
      </c>
      <c r="I11" s="8" t="n">
        <v>5784</v>
      </c>
      <c r="J11" s="9">
        <f>G11/I11-1</f>
        <v/>
      </c>
      <c r="K11" s="8" t="n">
        <v>5</v>
      </c>
      <c r="L11" s="10">
        <f>IF(H11&lt;0.301, 5, IF(H11&lt;0.73, 4, IF(H11&lt;1.633,3, IF(H11&lt;2.168, 2, 1))))</f>
        <v/>
      </c>
      <c r="M11" s="10">
        <f>IF(J11&lt;-0.682, 5, IF(J11&lt;-0.285, 4, IF(J11&lt;-0.048,3, IF(J11&lt;0.527, 2, 1))))</f>
        <v/>
      </c>
      <c r="N11" s="10">
        <f>K11</f>
        <v/>
      </c>
      <c r="O11" s="10">
        <f>L11*0.75</f>
        <v/>
      </c>
      <c r="P11" s="10">
        <f>M11*0.15</f>
        <v/>
      </c>
      <c r="Q11" s="10">
        <f>N11*0.1</f>
        <v/>
      </c>
      <c r="R11" s="10">
        <f>SUM(O11:Q11)</f>
        <v/>
      </c>
      <c r="S11" s="9">
        <f>R11*(T22-F21)/SUMPRODUCT(F4:F20,R4:R20)</f>
        <v/>
      </c>
      <c r="T11" s="10">
        <f>F11*(1+S11)</f>
        <v/>
      </c>
      <c r="U11" s="11" t="s"/>
    </row>
    <row r="12" spans="1:21">
      <c r="B12" s="6" t="s">
        <v>30</v>
      </c>
      <c r="C12" s="7" t="s">
        <v>21</v>
      </c>
      <c r="D12" s="7" t="s">
        <v>22</v>
      </c>
      <c r="E12" s="7" t="s">
        <v>22</v>
      </c>
      <c r="F12" s="8" t="n">
        <v>5515</v>
      </c>
      <c r="G12" s="8" t="n">
        <v>1321</v>
      </c>
      <c r="H12" s="9">
        <f>F12/G12</f>
        <v/>
      </c>
      <c r="I12" s="8" t="n">
        <v>52</v>
      </c>
      <c r="J12" s="9">
        <f>G12/I12-1</f>
        <v/>
      </c>
      <c r="K12" s="8" t="n">
        <v>5</v>
      </c>
      <c r="L12" s="10">
        <f>IF(H12&lt;0.301, 5, IF(H12&lt;0.73, 4, IF(H12&lt;1.633,3, IF(H12&lt;2.168, 2, 1))))</f>
        <v/>
      </c>
      <c r="M12" s="10">
        <f>IF(J12&lt;-0.682, 5, IF(J12&lt;-0.285, 4, IF(J12&lt;-0.048,3, IF(J12&lt;0.527, 2, 1))))</f>
        <v/>
      </c>
      <c r="N12" s="10">
        <f>K12</f>
        <v/>
      </c>
      <c r="O12" s="10">
        <f>L12*0.75</f>
        <v/>
      </c>
      <c r="P12" s="10">
        <f>M12*0.15</f>
        <v/>
      </c>
      <c r="Q12" s="10">
        <f>N12*0.1</f>
        <v/>
      </c>
      <c r="R12" s="10">
        <f>SUM(O12:Q12)</f>
        <v/>
      </c>
      <c r="S12" s="9">
        <f>R12*(T22-F21)/SUMPRODUCT(F4:F20,R4:R20)</f>
        <v/>
      </c>
      <c r="T12" s="10">
        <f>F12*(1+S12)</f>
        <v/>
      </c>
      <c r="U12" s="11" t="s"/>
    </row>
    <row r="13" spans="1:21">
      <c r="B13" s="6" t="s">
        <v>31</v>
      </c>
      <c r="C13" s="7" t="s">
        <v>21</v>
      </c>
      <c r="D13" s="7" t="s">
        <v>22</v>
      </c>
      <c r="E13" s="7" t="s">
        <v>22</v>
      </c>
      <c r="F13" s="8" t="n">
        <v>1268</v>
      </c>
      <c r="G13" s="8" t="n">
        <v>1736</v>
      </c>
      <c r="H13" s="9">
        <f>F13/G13</f>
        <v/>
      </c>
      <c r="I13" s="8" t="n">
        <v>723</v>
      </c>
      <c r="J13" s="9">
        <f>G13/I13-1</f>
        <v/>
      </c>
      <c r="K13" s="8" t="n">
        <v>5</v>
      </c>
      <c r="L13" s="10">
        <f>IF(H13&lt;0.301, 5, IF(H13&lt;0.73, 4, IF(H13&lt;1.633,3, IF(H13&lt;2.168, 2, 1))))</f>
        <v/>
      </c>
      <c r="M13" s="10">
        <f>IF(J13&lt;-0.682, 5, IF(J13&lt;-0.285, 4, IF(J13&lt;-0.048,3, IF(J13&lt;0.527, 2, 1))))</f>
        <v/>
      </c>
      <c r="N13" s="10">
        <f>K13</f>
        <v/>
      </c>
      <c r="O13" s="10">
        <f>L13*0.75</f>
        <v/>
      </c>
      <c r="P13" s="10">
        <f>M13*0.15</f>
        <v/>
      </c>
      <c r="Q13" s="10">
        <f>N13*0.1</f>
        <v/>
      </c>
      <c r="R13" s="10">
        <f>SUM(O13:Q13)</f>
        <v/>
      </c>
      <c r="S13" s="9">
        <f>R13*(T22-F21)/SUMPRODUCT(F4:F20,R4:R20)</f>
        <v/>
      </c>
      <c r="T13" s="10">
        <f>F13*(1+S13)</f>
        <v/>
      </c>
      <c r="U13" s="11" t="s"/>
    </row>
    <row r="14" spans="1:21">
      <c r="B14" s="6" t="s">
        <v>32</v>
      </c>
      <c r="C14" s="7" t="s">
        <v>21</v>
      </c>
      <c r="D14" s="7" t="s">
        <v>22</v>
      </c>
      <c r="E14" s="7" t="s">
        <v>22</v>
      </c>
      <c r="F14" s="8" t="n">
        <v>5042</v>
      </c>
      <c r="G14" s="8" t="n">
        <v>4906</v>
      </c>
      <c r="H14" s="9">
        <f>F14/G14</f>
        <v/>
      </c>
      <c r="I14" s="8" t="n">
        <v>640</v>
      </c>
      <c r="J14" s="9">
        <f>G14/I14-1</f>
        <v/>
      </c>
      <c r="K14" s="8" t="n">
        <v>5</v>
      </c>
      <c r="L14" s="10">
        <f>IF(H14&lt;0.301, 5, IF(H14&lt;0.73, 4, IF(H14&lt;1.633,3, IF(H14&lt;2.168, 2, 1))))</f>
        <v/>
      </c>
      <c r="M14" s="10">
        <f>IF(J14&lt;-0.682, 5, IF(J14&lt;-0.285, 4, IF(J14&lt;-0.048,3, IF(J14&lt;0.527, 2, 1))))</f>
        <v/>
      </c>
      <c r="N14" s="10">
        <f>K14</f>
        <v/>
      </c>
      <c r="O14" s="10">
        <f>L14*0.75</f>
        <v/>
      </c>
      <c r="P14" s="10">
        <f>M14*0.15</f>
        <v/>
      </c>
      <c r="Q14" s="10">
        <f>N14*0.1</f>
        <v/>
      </c>
      <c r="R14" s="10">
        <f>SUM(O14:Q14)</f>
        <v/>
      </c>
      <c r="S14" s="9">
        <f>R14*(T22-F21)/SUMPRODUCT(F4:F20,R4:R20)</f>
        <v/>
      </c>
      <c r="T14" s="10">
        <f>F14*(1+S14)</f>
        <v/>
      </c>
      <c r="U14" s="11" t="s"/>
    </row>
    <row r="15" spans="1:21">
      <c r="B15" s="6" t="s">
        <v>33</v>
      </c>
      <c r="C15" s="7" t="s">
        <v>21</v>
      </c>
      <c r="D15" s="7" t="s">
        <v>22</v>
      </c>
      <c r="E15" s="7" t="s">
        <v>22</v>
      </c>
      <c r="F15" s="8" t="n">
        <v>2396</v>
      </c>
      <c r="G15" s="8" t="n">
        <v>1298</v>
      </c>
      <c r="H15" s="9">
        <f>F15/G15</f>
        <v/>
      </c>
      <c r="I15" s="8" t="n">
        <v>850</v>
      </c>
      <c r="J15" s="9">
        <f>G15/I15-1</f>
        <v/>
      </c>
      <c r="K15" s="8" t="n">
        <v>5</v>
      </c>
      <c r="L15" s="10">
        <f>IF(H15&lt;0.301, 5, IF(H15&lt;0.73, 4, IF(H15&lt;1.633,3, IF(H15&lt;2.168, 2, 1))))</f>
        <v/>
      </c>
      <c r="M15" s="10">
        <f>IF(J15&lt;-0.682, 5, IF(J15&lt;-0.285, 4, IF(J15&lt;-0.048,3, IF(J15&lt;0.527, 2, 1))))</f>
        <v/>
      </c>
      <c r="N15" s="10">
        <f>K15</f>
        <v/>
      </c>
      <c r="O15" s="10">
        <f>L15*0.75</f>
        <v/>
      </c>
      <c r="P15" s="10">
        <f>M15*0.15</f>
        <v/>
      </c>
      <c r="Q15" s="10">
        <f>N15*0.1</f>
        <v/>
      </c>
      <c r="R15" s="10">
        <f>SUM(O15:Q15)</f>
        <v/>
      </c>
      <c r="S15" s="9">
        <f>R15*(T22-F21)/SUMPRODUCT(F4:F20,R4:R20)</f>
        <v/>
      </c>
      <c r="T15" s="10">
        <f>F15*(1+S15)</f>
        <v/>
      </c>
      <c r="U15" s="11" t="s"/>
    </row>
    <row r="16" spans="1:21">
      <c r="B16" s="6" t="s">
        <v>34</v>
      </c>
      <c r="C16" s="7" t="s">
        <v>21</v>
      </c>
      <c r="D16" s="7" t="s">
        <v>22</v>
      </c>
      <c r="E16" s="7" t="s">
        <v>22</v>
      </c>
      <c r="F16" s="8" t="n">
        <v>8901</v>
      </c>
      <c r="G16" s="8" t="n">
        <v>2952</v>
      </c>
      <c r="H16" s="9">
        <f>F16/G16</f>
        <v/>
      </c>
      <c r="I16" s="8" t="n">
        <v>3648</v>
      </c>
      <c r="J16" s="9">
        <f>G16/I16-1</f>
        <v/>
      </c>
      <c r="K16" s="8" t="n">
        <v>5</v>
      </c>
      <c r="L16" s="10">
        <f>IF(H16&lt;0.301, 5, IF(H16&lt;0.73, 4, IF(H16&lt;1.633,3, IF(H16&lt;2.168, 2, 1))))</f>
        <v/>
      </c>
      <c r="M16" s="10">
        <f>IF(J16&lt;-0.682, 5, IF(J16&lt;-0.285, 4, IF(J16&lt;-0.048,3, IF(J16&lt;0.527, 2, 1))))</f>
        <v/>
      </c>
      <c r="N16" s="10">
        <f>K16</f>
        <v/>
      </c>
      <c r="O16" s="10">
        <f>L16*0.75</f>
        <v/>
      </c>
      <c r="P16" s="10">
        <f>M16*0.15</f>
        <v/>
      </c>
      <c r="Q16" s="10">
        <f>N16*0.1</f>
        <v/>
      </c>
      <c r="R16" s="10">
        <f>SUM(O16:Q16)</f>
        <v/>
      </c>
      <c r="S16" s="9">
        <f>R16*(T22-F21)/SUMPRODUCT(F4:F20,R4:R20)</f>
        <v/>
      </c>
      <c r="T16" s="10">
        <f>F16*(1+S16)</f>
        <v/>
      </c>
      <c r="U16" s="11" t="s"/>
    </row>
    <row r="17" spans="1:21">
      <c r="B17" s="6" t="s">
        <v>35</v>
      </c>
      <c r="C17" s="7" t="s">
        <v>21</v>
      </c>
      <c r="D17" s="7" t="s">
        <v>22</v>
      </c>
      <c r="E17" s="7" t="s">
        <v>22</v>
      </c>
      <c r="F17" s="8" t="n">
        <v>5463</v>
      </c>
      <c r="G17" s="8" t="n">
        <v>2011</v>
      </c>
      <c r="H17" s="9">
        <f>F17/G17</f>
        <v/>
      </c>
      <c r="I17" s="8" t="n">
        <v>6326</v>
      </c>
      <c r="J17" s="9">
        <f>G17/I17-1</f>
        <v/>
      </c>
      <c r="K17" s="8" t="n">
        <v>5</v>
      </c>
      <c r="L17" s="10">
        <f>IF(H17&lt;0.301, 5, IF(H17&lt;0.73, 4, IF(H17&lt;1.633,3, IF(H17&lt;2.168, 2, 1))))</f>
        <v/>
      </c>
      <c r="M17" s="10">
        <f>IF(J17&lt;-0.682, 5, IF(J17&lt;-0.285, 4, IF(J17&lt;-0.048,3, IF(J17&lt;0.527, 2, 1))))</f>
        <v/>
      </c>
      <c r="N17" s="10">
        <f>K17</f>
        <v/>
      </c>
      <c r="O17" s="10">
        <f>L17*0.75</f>
        <v/>
      </c>
      <c r="P17" s="10">
        <f>M17*0.15</f>
        <v/>
      </c>
      <c r="Q17" s="10">
        <f>N17*0.1</f>
        <v/>
      </c>
      <c r="R17" s="10">
        <f>SUM(O17:Q17)</f>
        <v/>
      </c>
      <c r="S17" s="9">
        <f>R17*(T22-F21)/SUMPRODUCT(F4:F20,R4:R20)</f>
        <v/>
      </c>
      <c r="T17" s="10">
        <f>F17*(1+S17)</f>
        <v/>
      </c>
      <c r="U17" s="11" t="s"/>
    </row>
    <row r="18" spans="1:21">
      <c r="B18" s="6" t="s">
        <v>36</v>
      </c>
      <c r="C18" s="7" t="s">
        <v>21</v>
      </c>
      <c r="D18" s="7" t="s">
        <v>22</v>
      </c>
      <c r="E18" s="7" t="s">
        <v>22</v>
      </c>
      <c r="F18" s="8" t="n">
        <v>48</v>
      </c>
      <c r="G18" s="8" t="n">
        <v>1519</v>
      </c>
      <c r="H18" s="9">
        <f>F18/G18</f>
        <v/>
      </c>
      <c r="I18" s="8" t="n">
        <v>1081</v>
      </c>
      <c r="J18" s="9">
        <f>G18/I18-1</f>
        <v/>
      </c>
      <c r="K18" s="8" t="n">
        <v>5</v>
      </c>
      <c r="L18" s="10">
        <f>IF(H18&lt;0.301, 5, IF(H18&lt;0.73, 4, IF(H18&lt;1.633,3, IF(H18&lt;2.168, 2, 1))))</f>
        <v/>
      </c>
      <c r="M18" s="10">
        <f>IF(J18&lt;-0.682, 5, IF(J18&lt;-0.285, 4, IF(J18&lt;-0.048,3, IF(J18&lt;0.527, 2, 1))))</f>
        <v/>
      </c>
      <c r="N18" s="10">
        <f>K18</f>
        <v/>
      </c>
      <c r="O18" s="10">
        <f>L18*0.75</f>
        <v/>
      </c>
      <c r="P18" s="10">
        <f>M18*0.15</f>
        <v/>
      </c>
      <c r="Q18" s="10">
        <f>N18*0.1</f>
        <v/>
      </c>
      <c r="R18" s="10">
        <f>SUM(O18:Q18)</f>
        <v/>
      </c>
      <c r="S18" s="9">
        <f>R18*(T22-F21)/SUMPRODUCT(F4:F20,R4:R20)</f>
        <v/>
      </c>
      <c r="T18" s="10">
        <f>F18*(1+S18)</f>
        <v/>
      </c>
      <c r="U18" s="11" t="s"/>
    </row>
    <row r="19" spans="1:21">
      <c r="B19" s="6" t="s">
        <v>37</v>
      </c>
      <c r="C19" s="7" t="s">
        <v>21</v>
      </c>
      <c r="D19" s="7" t="s">
        <v>22</v>
      </c>
      <c r="E19" s="7" t="s">
        <v>22</v>
      </c>
      <c r="F19" s="8" t="n">
        <v>2581</v>
      </c>
      <c r="G19" s="8" t="n">
        <v>3576</v>
      </c>
      <c r="H19" s="9">
        <f>F19/G19</f>
        <v/>
      </c>
      <c r="I19" s="8" t="n">
        <v>77</v>
      </c>
      <c r="J19" s="9">
        <f>G19/I19-1</f>
        <v/>
      </c>
      <c r="K19" s="8" t="n">
        <v>5</v>
      </c>
      <c r="L19" s="10">
        <f>IF(H19&lt;0.301, 5, IF(H19&lt;0.73, 4, IF(H19&lt;1.633,3, IF(H19&lt;2.168, 2, 1))))</f>
        <v/>
      </c>
      <c r="M19" s="10">
        <f>IF(J19&lt;-0.682, 5, IF(J19&lt;-0.285, 4, IF(J19&lt;-0.048,3, IF(J19&lt;0.527, 2, 1))))</f>
        <v/>
      </c>
      <c r="N19" s="10">
        <f>K19</f>
        <v/>
      </c>
      <c r="O19" s="10">
        <f>L19*0.75</f>
        <v/>
      </c>
      <c r="P19" s="10">
        <f>M19*0.15</f>
        <v/>
      </c>
      <c r="Q19" s="10">
        <f>N19*0.1</f>
        <v/>
      </c>
      <c r="R19" s="10">
        <f>SUM(O19:Q19)</f>
        <v/>
      </c>
      <c r="S19" s="9">
        <f>R19*(T22-F21)/SUMPRODUCT(F4:F20,R4:R20)</f>
        <v/>
      </c>
      <c r="T19" s="10">
        <f>F19*(1+S19)</f>
        <v/>
      </c>
      <c r="U19" s="11" t="s"/>
    </row>
    <row r="20" spans="1:21">
      <c r="B20" s="6" t="s">
        <v>38</v>
      </c>
      <c r="C20" s="7" t="s">
        <v>21</v>
      </c>
      <c r="D20" s="7" t="s">
        <v>22</v>
      </c>
      <c r="E20" s="7" t="s">
        <v>22</v>
      </c>
      <c r="F20" s="8" t="n">
        <v>2489</v>
      </c>
      <c r="G20" s="8" t="n">
        <v>1524</v>
      </c>
      <c r="H20" s="9">
        <f>F20/G20</f>
        <v/>
      </c>
      <c r="I20" s="8" t="n">
        <v>2132</v>
      </c>
      <c r="J20" s="9">
        <f>G20/I20-1</f>
        <v/>
      </c>
      <c r="K20" s="8" t="n">
        <v>5</v>
      </c>
      <c r="L20" s="10">
        <f>IF(H20&lt;0.301, 5, IF(H20&lt;0.73, 4, IF(H20&lt;1.633,3, IF(H20&lt;2.168, 2, 1))))</f>
        <v/>
      </c>
      <c r="M20" s="10">
        <f>IF(J20&lt;-0.682, 5, IF(J20&lt;-0.285, 4, IF(J20&lt;-0.048,3, IF(J20&lt;0.527, 2, 1))))</f>
        <v/>
      </c>
      <c r="N20" s="10">
        <f>K20</f>
        <v/>
      </c>
      <c r="O20" s="10">
        <f>L20*0.75</f>
        <v/>
      </c>
      <c r="P20" s="10">
        <f>M20*0.15</f>
        <v/>
      </c>
      <c r="Q20" s="10">
        <f>N20*0.1</f>
        <v/>
      </c>
      <c r="R20" s="10">
        <f>SUM(O20:Q20)</f>
        <v/>
      </c>
      <c r="S20" s="9">
        <f>R20*(T22-F21)/SUMPRODUCT(F4:F20,R4:R20)</f>
        <v/>
      </c>
      <c r="T20" s="10">
        <f>F20*(1+S20)</f>
        <v/>
      </c>
      <c r="U20" s="11" t="s"/>
    </row>
    <row r="21" spans="1:21">
      <c r="B21" s="12" t="s">
        <v>39</v>
      </c>
      <c r="C21" s="13" t="n"/>
      <c r="D21" s="13" t="n"/>
      <c r="E21" s="14" t="n"/>
      <c r="F21" s="15">
        <f>SUM(F4:F20)</f>
        <v/>
      </c>
      <c r="G21" s="15">
        <f>SUM(G4:G20)</f>
        <v/>
      </c>
      <c r="H21" s="16" t="s">
        <v>40</v>
      </c>
      <c r="I21" s="15">
        <f>SUM(I4:I20)</f>
        <v/>
      </c>
      <c r="J21" s="16" t="s">
        <v>40</v>
      </c>
      <c r="K21" s="15">
        <f>SUM(K4:K20)</f>
        <v/>
      </c>
      <c r="L21" s="15">
        <f>SUM(L4:L20)</f>
        <v/>
      </c>
      <c r="M21" s="15">
        <f>SUM(M4:M20)</f>
        <v/>
      </c>
      <c r="N21" s="15">
        <f>SUM(N4:N20)</f>
        <v/>
      </c>
      <c r="O21" s="15">
        <f>SUM(O4:O20)</f>
        <v/>
      </c>
      <c r="P21" s="15">
        <f>SUM(P4:P20)</f>
        <v/>
      </c>
      <c r="Q21" s="15">
        <f>SUM(Q4:Q20)</f>
        <v/>
      </c>
      <c r="R21" s="15">
        <f>SUM(R4:R20)</f>
        <v/>
      </c>
      <c r="S21" s="16">
        <f>SUM(S4:S20)</f>
        <v/>
      </c>
      <c r="T21" s="15">
        <f>SUM(T4:T20)</f>
        <v/>
      </c>
      <c r="U21" s="17">
        <f>SUM(U4:U20)</f>
        <v/>
      </c>
    </row>
    <row r="22" spans="1:21">
      <c r="B22" s="18" t="s">
        <v>41</v>
      </c>
      <c r="C22" s="19" t="n"/>
      <c r="D22" s="19" t="n"/>
      <c r="E22" s="20" t="n"/>
      <c r="F22" s="21" t="s">
        <v>40</v>
      </c>
      <c r="G22" s="21" t="s">
        <v>40</v>
      </c>
      <c r="H22" s="21" t="s">
        <v>40</v>
      </c>
      <c r="I22" s="21" t="s">
        <v>40</v>
      </c>
      <c r="J22" s="21" t="s">
        <v>40</v>
      </c>
      <c r="K22" s="21" t="s">
        <v>40</v>
      </c>
      <c r="L22" s="21" t="s">
        <v>40</v>
      </c>
      <c r="M22" s="21" t="s">
        <v>40</v>
      </c>
      <c r="N22" s="21" t="s">
        <v>40</v>
      </c>
      <c r="O22" s="21" t="s">
        <v>40</v>
      </c>
      <c r="P22" s="21" t="s">
        <v>40</v>
      </c>
      <c r="Q22" s="21" t="s">
        <v>40</v>
      </c>
      <c r="R22" s="21" t="s">
        <v>40</v>
      </c>
      <c r="S22" s="21" t="s">
        <v>40</v>
      </c>
      <c r="T22" s="22" t="n"/>
      <c r="U22" s="23" t="n"/>
    </row>
  </sheetData>
  <mergeCells count="6">
    <mergeCell ref="B3"/>
    <mergeCell ref="C3"/>
    <mergeCell ref="D3"/>
    <mergeCell ref="E3"/>
    <mergeCell ref="B21:E21"/>
    <mergeCell ref="B22:E22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2018-03-27T17:54:55Z</dcterms:created>
  <dcterms:modified xsi:type="dcterms:W3CDTF">2018-03-27T17:54:55Z</dcterms:modified>
</cp:coreProperties>
</file>