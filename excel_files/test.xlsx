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windowHeight="14020" windowWidth="28800" xWindow="0" yWindow="460"/>
  </bookViews>
  <sheets>
    <sheet name="使用说明" sheetId="1" state="visible" r:id="rId1"/>
    <sheet name="Target Allocation to ICAM" sheetId="2" state="visible" r:id="rId2"/>
  </sheets>
  <definedNames/>
  <calcPr calcId="171027" concurrentCalc="0" fullCalcOnLoad="1"/>
</workbook>
</file>

<file path=xl/sharedStrings.xml><?xml version="1.0" encoding="utf-8"?>
<sst xmlns="http://schemas.openxmlformats.org/spreadsheetml/2006/main" uniqueCount="57">
  <si>
    <t>使用说明</t>
  </si>
  <si>
    <t xml:space="preserve">Ref Target计算逻辑 </t>
  </si>
  <si>
    <t>表格单元格颜色含义</t>
  </si>
  <si>
    <t>灰色，公式计算结果，导出时已包含公式</t>
  </si>
  <si>
    <t>黄色，系统导出的参考数据（基于历史数据计算）</t>
  </si>
  <si>
    <t>蓝色，经过SGM/SD调整确认后的结果</t>
  </si>
  <si>
    <t>无色，待RSM修改，并作为结果上传反馈的数据</t>
  </si>
  <si>
    <t>红色字体</t>
  </si>
  <si>
    <t>红色字体，调整结果经过SGM/SD调整确认后的结果</t>
  </si>
  <si>
    <t>调整步骤</t>
  </si>
  <si>
    <t>调整ICAM的Volume</t>
  </si>
  <si>
    <t>调整ICAM的Portfolio的UC3 UNP以及Portfolio%</t>
  </si>
  <si>
    <t>上传调整后的结果作为ICAM的Target</t>
  </si>
  <si>
    <t>完整的Target Allocation步骤</t>
  </si>
  <si>
    <t>1. 调整ICAM的Target Volume</t>
  </si>
  <si>
    <t>Name</t>
  </si>
  <si>
    <t>LE KL</t>
  </si>
  <si>
    <t>Market size KL</t>
  </si>
  <si>
    <t>Market Share %</t>
  </si>
  <si>
    <t>Target Volume KL</t>
  </si>
  <si>
    <t>Target C3 $</t>
  </si>
  <si>
    <t>Target Proceed $</t>
  </si>
  <si>
    <t>史战旭</t>
  </si>
  <si>
    <t>刘志彬</t>
  </si>
  <si>
    <t>VACANCY</t>
  </si>
  <si>
    <t>戈宏宇</t>
  </si>
  <si>
    <t>王国宏</t>
  </si>
  <si>
    <t>Sum Total</t>
  </si>
  <si>
    <t>张宇</t>
  </si>
  <si>
    <t>2. 调整ICAM的Portfolio的UC3 UNP以及Portfolio%</t>
  </si>
  <si>
    <t>Product</t>
  </si>
  <si>
    <t>Target UC3 $</t>
  </si>
  <si>
    <t>Target UNP $</t>
  </si>
  <si>
    <t>Target Portfolio %</t>
  </si>
  <si>
    <t>Ref UC3 $</t>
  </si>
  <si>
    <t>Ref UNP $</t>
  </si>
  <si>
    <t>Ref Portfolio %</t>
  </si>
  <si>
    <t>PCMO</t>
  </si>
  <si>
    <t>WT</t>
  </si>
  <si>
    <t>Ultra</t>
  </si>
  <si>
    <t>HX8</t>
  </si>
  <si>
    <t>HX7</t>
  </si>
  <si>
    <t>HX6</t>
  </si>
  <si>
    <t>HX5</t>
  </si>
  <si>
    <t>HX3</t>
  </si>
  <si>
    <t>HX2</t>
  </si>
  <si>
    <t>Other</t>
  </si>
  <si>
    <t>CRTO</t>
  </si>
  <si>
    <t>R6</t>
  </si>
  <si>
    <t>R5</t>
  </si>
  <si>
    <t>R4 Plus</t>
  </si>
  <si>
    <t>R4</t>
  </si>
  <si>
    <t>R3</t>
  </si>
  <si>
    <t>R2</t>
  </si>
  <si>
    <t>Gadus</t>
  </si>
  <si>
    <t>Spirax</t>
  </si>
  <si>
    <t>N/A</t>
  </si>
</sst>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</font>
    <font>
      <name val="Arial"/>
      <family val="2"/>
      <color rgb="FF000000"/>
      <sz val="10"/>
    </font>
    <font>
      <name val="宋体"/>
      <charset val="134"/>
      <family val="3"/>
      <sz val="9"/>
    </font>
    <font>
      <name val="微软雅黑"/>
      <charset val="134"/>
      <family val="2"/>
      <color rgb="FF000000"/>
      <sz val="11"/>
    </font>
    <font>
      <name val="微软雅黑"/>
      <charset val="134"/>
      <family val="2"/>
      <sz val="11"/>
    </font>
    <font>
      <name val="微软雅黑"/>
      <charset val="134"/>
      <family val="2"/>
      <b val="1"/>
      <color rgb="FF000000"/>
      <sz val="11"/>
    </font>
    <font>
      <name val="微软雅黑"/>
      <charset val="134"/>
      <family val="2"/>
      <b val="1"/>
      <sz val="14"/>
    </font>
    <font>
      <name val="微软雅黑"/>
      <charset val="134"/>
      <family val="2"/>
      <b val="1"/>
      <color rgb="FF000000"/>
      <sz val="14"/>
    </font>
    <font>
      <name val="微软雅黑"/>
      <charset val="134"/>
      <family val="2"/>
      <color rgb="FF000000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color rgb="FFFF0000"/>
      <sz val="11"/>
    </font>
    <font>
      <name val="Microsoft YaHei"/>
      <color rgb="00000000"/>
      <sz val="10"/>
    </font>
    <font>
      <name val="Microsoft YaHei"/>
      <b val="1"/>
      <color rgb="00000000"/>
      <sz val="10"/>
    </font>
    <font>
      <name val="Microsoft YaHei"/>
      <b val="1"/>
      <color rgb="00000000"/>
      <sz val="14"/>
    </font>
  </fonts>
  <fills count="9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2"/>
        <bgColor rgb="FFD0CECE"/>
      </patternFill>
    </fill>
    <fill>
      <patternFill patternType="solid">
        <fgColor theme="4"/>
        <bgColor rgb="FF4472C4"/>
      </patternFill>
    </fill>
    <fill>
      <patternFill patternType="solid">
        <fgColor rgb="00ffffff"/>
      </patternFill>
    </fill>
    <fill>
      <patternFill patternType="solid">
        <fgColor rgb="004674c1"/>
      </patternFill>
    </fill>
    <fill>
      <patternFill patternType="solid">
        <fgColor rgb="00e6e6e6"/>
      </patternFill>
    </fill>
    <fill>
      <patternFill patternType="solid">
        <fgColor rgb="00fff1ce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 style="thin">
        <color rgb="FFB7B7B7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thin">
        <color rgb="008e8d8d"/>
      </left>
      <right style="thin">
        <color rgb="008e8d8d"/>
      </right>
      <top style="thin">
        <color rgb="008e8d8d"/>
      </top>
      <bottom style="thin">
        <color rgb="008e8d8d"/>
      </bottom>
      <diagonal/>
    </border>
    <border>
      <left/>
      <right/>
      <top/>
      <bottom style="thin">
        <color rgb="008e8d8d"/>
      </bottom>
      <diagonal/>
    </border>
    <border>
      <left style="thin">
        <color rgb="008e8d8d"/>
      </left>
      <right/>
      <top/>
      <bottom/>
      <diagonal/>
    </border>
    <border>
      <left style="thin">
        <color rgb="008e8d8d"/>
      </left>
      <right style="thin">
        <color rgb="008e8d8d"/>
      </right>
      <top/>
      <bottom/>
      <diagonal/>
    </border>
    <border>
      <left style="thin">
        <color rgb="008e8d8d"/>
      </left>
      <right/>
      <top/>
      <bottom style="thin">
        <color rgb="008e8d8d"/>
      </bottom>
      <diagonal/>
    </border>
    <border>
      <left style="thin">
        <color rgb="008e8d8d"/>
      </left>
      <right style="thin">
        <color rgb="008e8d8d"/>
      </right>
      <top/>
      <bottom style="thin">
        <color rgb="008e8d8d"/>
      </bottom>
      <diagonal/>
    </border>
    <border>
      <left style="thin">
        <color rgb="008e8d8d"/>
      </left>
      <right style="thin">
        <color rgb="008e8d8d"/>
      </right>
      <top style="double">
        <color rgb="00000000"/>
      </top>
      <bottom style="thin">
        <color rgb="008e8d8d"/>
      </bottom>
      <diagonal/>
    </border>
    <border>
      <left/>
      <right/>
      <top style="double">
        <color rgb="00000000"/>
      </top>
      <bottom/>
      <diagonal/>
    </border>
    <border>
      <left/>
      <right/>
      <top style="double">
        <color rgb="00000000"/>
      </top>
      <bottom style="thin">
        <color rgb="008e8d8d"/>
      </bottom>
      <diagonal/>
    </border>
    <border>
      <left/>
      <right style="thin">
        <color rgb="008e8d8d"/>
      </right>
      <top style="double">
        <color rgb="00000000"/>
      </top>
      <bottom style="thin">
        <color rgb="008e8d8d"/>
      </bottom>
      <diagonal/>
    </border>
    <border>
      <left/>
      <right/>
      <top style="thin">
        <color rgb="008e8d8d"/>
      </top>
      <bottom/>
      <diagonal/>
    </border>
    <border>
      <left/>
      <right/>
      <top style="thin">
        <color rgb="008e8d8d"/>
      </top>
      <bottom style="thin">
        <color rgb="008e8d8d"/>
      </bottom>
      <diagonal/>
    </border>
    <border>
      <left/>
      <right style="thin">
        <color rgb="008e8d8d"/>
      </right>
      <top style="thin">
        <color rgb="008e8d8d"/>
      </top>
      <bottom style="thin">
        <color rgb="008e8d8d"/>
      </bottom>
      <diagonal/>
    </border>
    <border>
      <right/>
      <top/>
      <bottom/>
      <diagonal/>
    </border>
    <border>
      <left style="thin">
        <color rgb="008e8d8d"/>
      </left>
      <right style="thin">
        <color rgb="008e8d8d"/>
      </right>
      <top style="thick">
        <color rgb="00000000"/>
      </top>
      <bottom style="thin">
        <color rgb="008e8d8d"/>
      </bottom>
      <diagonal/>
    </border>
    <border>
      <left/>
      <right/>
      <top style="thick">
        <color rgb="00000000"/>
      </top>
      <bottom style="thin">
        <color rgb="008e8d8d"/>
      </bottom>
      <diagonal/>
    </border>
    <border>
      <left/>
      <right style="thin">
        <color rgb="008e8d8d"/>
      </right>
      <top style="thick">
        <color rgb="00000000"/>
      </top>
      <bottom style="thin">
        <color rgb="008e8d8d"/>
      </bottom>
      <diagonal/>
    </border>
    <border>
      <left style="thin">
        <color rgb="008e8d8d"/>
      </left>
      <right style="thin">
        <color rgb="008e8d8d"/>
      </right>
      <top style="double">
        <color rgb="00000000"/>
      </top>
      <bottom style="thick">
        <color rgb="00000000"/>
      </bottom>
      <diagonal/>
    </border>
    <border>
      <left/>
      <right style="thin">
        <color rgb="008e8d8d"/>
      </right>
      <top style="double">
        <color rgb="00000000"/>
      </top>
      <bottom style="thick">
        <color rgb="00000000"/>
      </bottom>
      <diagonal/>
    </border>
    <border>
      <left style="thick">
        <color rgb="00000000"/>
      </left>
      <right style="thin">
        <color rgb="008e8d8d"/>
      </right>
      <top style="thick">
        <color rgb="00000000"/>
      </top>
      <bottom style="thin">
        <color rgb="008e8d8d"/>
      </bottom>
      <diagonal/>
    </border>
    <border>
      <left/>
      <right style="thick">
        <color rgb="00000000"/>
      </right>
      <top style="thick">
        <color rgb="00000000"/>
      </top>
      <bottom style="thin">
        <color rgb="008e8d8d"/>
      </bottom>
      <diagonal/>
    </border>
    <border>
      <left style="thick">
        <color rgb="00000000"/>
      </left>
      <right style="thin">
        <color rgb="008e8d8d"/>
      </right>
      <top style="thin">
        <color rgb="008e8d8d"/>
      </top>
      <bottom style="thin">
        <color rgb="008e8d8d"/>
      </bottom>
      <diagonal/>
    </border>
    <border>
      <left style="thin">
        <color rgb="008e8d8d"/>
      </left>
      <right style="thick">
        <color rgb="00000000"/>
      </right>
      <top style="thin">
        <color rgb="008e8d8d"/>
      </top>
      <bottom style="thin">
        <color rgb="008e8d8d"/>
      </bottom>
      <diagonal/>
    </border>
    <border>
      <left style="thick">
        <color rgb="00000000"/>
      </left>
      <right style="thin">
        <color rgb="008e8d8d"/>
      </right>
      <top/>
      <bottom/>
      <diagonal/>
    </border>
    <border>
      <left style="thick">
        <color rgb="00000000"/>
      </left>
      <right style="thin">
        <color rgb="008e8d8d"/>
      </right>
      <top/>
      <bottom style="thin">
        <color rgb="008e8d8d"/>
      </bottom>
      <diagonal/>
    </border>
    <border>
      <left style="thick">
        <color rgb="00000000"/>
      </left>
      <right style="thin">
        <color rgb="008e8d8d"/>
      </right>
      <top style="double">
        <color rgb="00000000"/>
      </top>
      <bottom style="thick">
        <color rgb="00000000"/>
      </bottom>
      <diagonal/>
    </border>
    <border>
      <left style="thin">
        <color rgb="008e8d8d"/>
      </left>
      <right style="thick">
        <color rgb="00000000"/>
      </right>
      <top style="double">
        <color rgb="00000000"/>
      </top>
      <bottom style="thick">
        <color rgb="00000000"/>
      </bottom>
      <diagonal/>
    </border>
    <border>
      <left style="thin">
        <color rgb="008e8d8d"/>
      </left>
      <right style="thin">
        <color rgb="008e8d8d"/>
      </right>
      <top style="thin">
        <color rgb="008e8d8d"/>
      </top>
      <bottom style="thick">
        <color rgb="00000000"/>
      </bottom>
      <diagonal/>
    </border>
    <border>
      <left style="thin">
        <color rgb="008e8d8d"/>
      </left>
      <right style="thick">
        <color rgb="00000000"/>
      </right>
      <top style="thick">
        <color rgb="00000000"/>
      </top>
      <bottom style="thin">
        <color rgb="008e8d8d"/>
      </bottom>
      <diagonal/>
    </border>
    <border>
      <left style="thick">
        <color rgb="00000000"/>
      </left>
      <right style="thin">
        <color rgb="008e8d8d"/>
      </right>
      <top style="double">
        <color rgb="00000000"/>
      </top>
      <bottom style="thin">
        <color rgb="008e8d8d"/>
      </bottom>
      <diagonal/>
    </border>
    <border>
      <left style="thin">
        <color rgb="008e8d8d"/>
      </left>
      <right style="thick">
        <color rgb="00000000"/>
      </right>
      <top style="double">
        <color rgb="00000000"/>
      </top>
      <bottom style="thin">
        <color rgb="008e8d8d"/>
      </bottom>
      <diagonal/>
    </border>
    <border>
      <left style="thick">
        <color rgb="00000000"/>
      </left>
      <right style="thin">
        <color rgb="008e8d8d"/>
      </right>
      <top style="thin">
        <color rgb="008e8d8d"/>
      </top>
      <bottom style="thick">
        <color rgb="00000000"/>
      </bottom>
      <diagonal/>
    </border>
    <border>
      <left style="thin">
        <color rgb="008e8d8d"/>
      </left>
      <right style="thick">
        <color rgb="00000000"/>
      </right>
      <top style="thin">
        <color rgb="008e8d8d"/>
      </top>
      <bottom style="thick">
        <color rgb="00000000"/>
      </bottom>
      <diagonal/>
    </border>
  </borders>
  <cellStyleXfs count="4">
    <xf borderId="1" fillId="0" fontId="0" numFmtId="0"/>
    <xf borderId="1" fillId="0" fontId="1" numFmtId="0"/>
    <xf borderId="1" fillId="0" fontId="1" numFmtId="0"/>
    <xf borderId="1" fillId="0" fontId="1" numFmtId="0"/>
  </cellStyleXfs>
  <cellXfs count="62">
    <xf borderId="0" fillId="0" fontId="0" numFmtId="0" pivotButton="0" quotePrefix="0" xfId="0"/>
    <xf borderId="1" fillId="0" fontId="3" numFmtId="0" pivotButton="0" quotePrefix="0" xfId="1"/>
    <xf borderId="0" fillId="0" fontId="4" numFmtId="0" pivotButton="0" quotePrefix="0" xfId="0"/>
    <xf borderId="0" fillId="0" fontId="6" numFmtId="0" pivotButton="0" quotePrefix="0" xfId="0"/>
    <xf borderId="1" fillId="0" fontId="7" numFmtId="0" pivotButton="0" quotePrefix="0" xfId="1"/>
    <xf borderId="1" fillId="0" fontId="4" numFmtId="0" pivotButton="0" quotePrefix="0" xfId="0"/>
    <xf applyAlignment="1" borderId="1" fillId="0" fontId="9" numFmtId="0" pivotButton="0" quotePrefix="0" xfId="0">
      <alignment horizontal="center"/>
    </xf>
    <xf borderId="1" fillId="0" fontId="8" numFmtId="0" pivotButton="0" quotePrefix="0" xfId="0"/>
    <xf borderId="1" fillId="0" fontId="7" numFmtId="0" pivotButton="0" quotePrefix="0" xfId="0"/>
    <xf borderId="2" fillId="3" fontId="4" numFmtId="0" pivotButton="0" quotePrefix="0" xfId="0"/>
    <xf borderId="4" fillId="0" fontId="3" numFmtId="0" pivotButton="0" quotePrefix="0" xfId="0"/>
    <xf borderId="5" fillId="2" fontId="4" numFmtId="0" pivotButton="0" quotePrefix="0" xfId="0"/>
    <xf borderId="7" fillId="0" fontId="3" numFmtId="0" pivotButton="0" quotePrefix="0" xfId="0"/>
    <xf borderId="5" fillId="4" fontId="4" numFmtId="0" pivotButton="0" quotePrefix="0" xfId="0"/>
    <xf borderId="1" fillId="0" fontId="5" numFmtId="0" pivotButton="0" quotePrefix="0" xfId="0"/>
    <xf applyAlignment="1" borderId="2" fillId="0" fontId="3" numFmtId="0" pivotButton="0" quotePrefix="0" xfId="0">
      <alignment horizontal="center"/>
    </xf>
    <xf applyAlignment="1" borderId="5" fillId="0" fontId="3" numFmtId="0" pivotButton="0" quotePrefix="0" xfId="0">
      <alignment horizontal="center"/>
    </xf>
    <xf applyAlignment="1" borderId="6" fillId="0" fontId="3" numFmtId="0" pivotButton="0" quotePrefix="0" xfId="0">
      <alignment horizontal="center"/>
    </xf>
    <xf borderId="3" fillId="0" fontId="3" numFmtId="0" pivotButton="0" quotePrefix="0" xfId="0"/>
    <xf borderId="5" fillId="0" fontId="4" numFmtId="0" pivotButton="0" quotePrefix="0" xfId="0"/>
    <xf borderId="6" fillId="0" fontId="10" numFmtId="0" pivotButton="0" quotePrefix="0" xfId="0"/>
    <xf applyAlignment="1" borderId="21" fillId="5" fontId="13" numFmtId="0" pivotButton="0" quotePrefix="0" xfId="0">
      <alignment horizontal="left"/>
    </xf>
    <xf applyAlignment="1" borderId="27" fillId="5" fontId="12" numFmtId="0" pivotButton="0" quotePrefix="0" xfId="0">
      <alignment horizontal="left" vertical="center" wrapText="1"/>
    </xf>
    <xf applyAlignment="1" borderId="22" fillId="5" fontId="12" numFmtId="0" pivotButton="0" quotePrefix="0" xfId="0">
      <alignment horizontal="left" vertical="center" wrapText="1"/>
    </xf>
    <xf applyAlignment="1" borderId="36" fillId="5" fontId="12" numFmtId="0" pivotButton="0" quotePrefix="0" xfId="0">
      <alignment horizontal="left" vertical="center" wrapText="1"/>
    </xf>
    <xf applyAlignment="1" borderId="29" fillId="5" fontId="12" numFmtId="0" pivotButton="0" quotePrefix="0" xfId="0">
      <alignment horizontal="left" vertical="center" wrapText="1"/>
    </xf>
    <xf applyAlignment="1" borderId="8" fillId="8" fontId="11" numFmtId="0" pivotButton="0" quotePrefix="0" xfId="0">
      <alignment horizontal="right" vertical="center" wrapText="1"/>
    </xf>
    <xf applyAlignment="1" borderId="8" fillId="8" fontId="11" numFmtId="10" pivotButton="0" quotePrefix="0" xfId="0">
      <alignment horizontal="right" vertical="center" wrapText="1"/>
    </xf>
    <xf applyAlignment="1" borderId="8" fillId="5" fontId="11" numFmtId="0" pivotButton="0" quotePrefix="0" xfId="0">
      <alignment horizontal="right" vertical="center" wrapText="1"/>
    </xf>
    <xf applyAlignment="1" borderId="8" fillId="7" fontId="11" numFmtId="0" pivotButton="0" quotePrefix="0" xfId="0">
      <alignment horizontal="right" vertical="center" wrapText="1"/>
    </xf>
    <xf applyAlignment="1" borderId="30" fillId="7" fontId="11" numFmtId="0" pivotButton="0" quotePrefix="0" xfId="0">
      <alignment horizontal="right" vertical="center" wrapText="1"/>
    </xf>
    <xf applyAlignment="1" borderId="37" fillId="5" fontId="12" numFmtId="0" pivotButton="0" quotePrefix="0" xfId="0">
      <alignment horizontal="left" vertical="center" wrapText="1"/>
    </xf>
    <xf applyAlignment="1" borderId="14" fillId="7" fontId="11" numFmtId="0" pivotButton="0" quotePrefix="0" xfId="0">
      <alignment horizontal="right" vertical="center" wrapText="1"/>
    </xf>
    <xf applyAlignment="1" borderId="14" fillId="7" fontId="11" numFmtId="10" pivotButton="0" quotePrefix="0" xfId="0">
      <alignment horizontal="right" vertical="center" wrapText="1"/>
    </xf>
    <xf applyAlignment="1" borderId="38" fillId="7" fontId="11" numFmtId="0" pivotButton="0" quotePrefix="0" xfId="0">
      <alignment horizontal="right" vertical="center" wrapText="1"/>
    </xf>
    <xf applyAlignment="1" borderId="39" fillId="5" fontId="12" numFmtId="0" pivotButton="0" quotePrefix="0" xfId="0">
      <alignment horizontal="left" vertical="center" wrapText="1"/>
    </xf>
    <xf applyAlignment="1" borderId="35" fillId="5" fontId="11" numFmtId="0" pivotButton="0" quotePrefix="0" xfId="0">
      <alignment horizontal="right" vertical="center" wrapText="1"/>
    </xf>
    <xf applyAlignment="1" borderId="35" fillId="6" fontId="11" numFmtId="0" pivotButton="0" quotePrefix="0" xfId="0">
      <alignment horizontal="right" vertical="center" wrapText="1"/>
    </xf>
    <xf applyAlignment="1" borderId="40" fillId="6" fontId="11" numFmtId="0" pivotButton="0" quotePrefix="0" xfId="0">
      <alignment horizontal="right" vertical="center" wrapText="1"/>
    </xf>
    <xf applyAlignment="1" borderId="27" fillId="5" fontId="11" numFmtId="0" pivotButton="0" quotePrefix="0" xfId="0">
      <alignment horizontal="right" vertical="center" wrapText="1"/>
    </xf>
    <xf applyAlignment="1" borderId="22" fillId="5" fontId="11" numFmtId="0" pivotButton="0" quotePrefix="0" xfId="0">
      <alignment horizontal="right" vertical="center" wrapText="1"/>
    </xf>
    <xf applyAlignment="1" borderId="22" fillId="5" fontId="12" numFmtId="0" pivotButton="0" quotePrefix="0" xfId="0">
      <alignment horizontal="center" vertical="center" wrapText="1"/>
    </xf>
    <xf borderId="23" fillId="5" fontId="0" numFmtId="0" pivotButton="0" quotePrefix="0" xfId="0"/>
    <xf borderId="24" fillId="5" fontId="0" numFmtId="0" pivotButton="0" quotePrefix="0" xfId="0"/>
    <xf borderId="28" fillId="5" fontId="0" numFmtId="0" pivotButton="0" quotePrefix="0" xfId="0"/>
    <xf applyAlignment="1" borderId="29" fillId="5" fontId="11" numFmtId="0" pivotButton="0" quotePrefix="0" xfId="0">
      <alignment horizontal="right" vertical="center" wrapText="1"/>
    </xf>
    <xf applyAlignment="1" borderId="8" fillId="5" fontId="12" numFmtId="0" pivotButton="0" quotePrefix="0" xfId="0">
      <alignment horizontal="left" vertical="center" wrapText="1"/>
    </xf>
    <xf applyAlignment="1" borderId="8" fillId="5" fontId="12" numFmtId="0" pivotButton="0" quotePrefix="0" xfId="0">
      <alignment horizontal="center" vertical="center" wrapText="1"/>
    </xf>
    <xf applyAlignment="1" borderId="30" fillId="5" fontId="12" numFmtId="0" pivotButton="0" quotePrefix="0" xfId="0">
      <alignment horizontal="center" vertical="center" wrapText="1"/>
    </xf>
    <xf applyAlignment="1" borderId="29" fillId="5" fontId="11" numFmtId="0" pivotButton="0" quotePrefix="0" xfId="0">
      <alignment horizontal="left" vertical="bottom"/>
    </xf>
    <xf applyAlignment="1" borderId="8" fillId="5" fontId="11" numFmtId="0" pivotButton="0" quotePrefix="0" xfId="0">
      <alignment horizontal="left" vertical="center" wrapText="1"/>
    </xf>
    <xf applyAlignment="1" borderId="8" fillId="6" fontId="11" numFmtId="0" pivotButton="0" quotePrefix="0" xfId="0">
      <alignment horizontal="right" vertical="center" wrapText="1"/>
    </xf>
    <xf applyAlignment="1" borderId="8" fillId="6" fontId="11" numFmtId="10" pivotButton="0" quotePrefix="0" xfId="0">
      <alignment horizontal="right" vertical="center" wrapText="1"/>
    </xf>
    <xf applyAlignment="1" borderId="8" fillId="5" fontId="11" numFmtId="10" pivotButton="0" quotePrefix="0" xfId="0">
      <alignment horizontal="right" vertical="center" wrapText="1"/>
    </xf>
    <xf applyAlignment="1" borderId="30" fillId="5" fontId="11" numFmtId="10" pivotButton="0" quotePrefix="0" xfId="0">
      <alignment horizontal="right" vertical="center" wrapText="1"/>
    </xf>
    <xf borderId="31" fillId="5" fontId="0" numFmtId="0" pivotButton="0" quotePrefix="0" xfId="0"/>
    <xf borderId="32" fillId="5" fontId="0" numFmtId="0" pivotButton="0" quotePrefix="0" xfId="0"/>
    <xf applyAlignment="1" borderId="33" fillId="5" fontId="12" numFmtId="0" pivotButton="0" quotePrefix="0" xfId="0">
      <alignment horizontal="left" vertical="bottom"/>
    </xf>
    <xf borderId="26" fillId="5" fontId="0" numFmtId="0" pivotButton="0" quotePrefix="0" xfId="0"/>
    <xf applyAlignment="1" borderId="25" fillId="5" fontId="11" numFmtId="0" pivotButton="0" quotePrefix="0" xfId="0">
      <alignment horizontal="right" vertical="center" wrapText="1"/>
    </xf>
    <xf applyAlignment="1" borderId="25" fillId="7" fontId="11" numFmtId="10" pivotButton="0" quotePrefix="0" xfId="0">
      <alignment horizontal="right" vertical="center" wrapText="1"/>
    </xf>
    <xf applyAlignment="1" borderId="34" fillId="7" fontId="11" numFmtId="10" pivotButton="0" quotePrefix="0" xfId="0">
      <alignment horizontal="right" vertical="center" wrapText="1"/>
    </xf>
  </cellXfs>
  <cellStyles count="4">
    <cellStyle builtinId="0" name="Normal" xfId="0"/>
    <cellStyle name="Normal 2" xfId="1"/>
    <cellStyle name="Percent 3" xfId="2"/>
    <cellStyle name="Percent 2" xfId="3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 /><Relationship Id="rId2" Target="/xl/media/image2.png" Type="http://schemas.openxmlformats.org/officeDocument/2006/relationships/image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13335000" cy="5715000"/>
    <pic>
      <nvPicPr>
        <cNvPr descr="Picture" id="1" name="Image 1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13335000" cy="7620000"/>
    <pic>
      <nvPicPr>
        <cNvPr descr="Picture" id="2" name="Image 2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E29"/>
  <sheetViews>
    <sheetView showGridLines="0" tabSelected="1" topLeftCell="A13" workbookViewId="0">
      <selection activeCell="C19" sqref="C19"/>
    </sheetView>
  </sheetViews>
  <sheetFormatPr baseColWidth="10" customHeight="1" defaultColWidth="14.5" defaultRowHeight="15.75" outlineLevelCol="0"/>
  <cols>
    <col customWidth="1" max="1" min="1" style="1" width="2.5"/>
    <col customWidth="1" max="2" min="2" style="1" width="9.6640625"/>
    <col customWidth="1" max="3" min="3" style="1" width="51.6640625"/>
    <col customWidth="1" max="4" min="4" style="1" width="12.83203125"/>
    <col customWidth="1" max="16384" min="5" style="1" width="14.5"/>
  </cols>
  <sheetData>
    <row customHeight="1" ht="8.25" r="1" spans="1:5"/>
    <row customHeight="1" ht="21" r="2" spans="1:5">
      <c r="B2" s="3" t="s">
        <v>0</v>
      </c>
      <c r="C2" s="2" t="n"/>
      <c r="E2" s="4" t="s">
        <v>1</v>
      </c>
    </row>
    <row customHeight="1" ht="17" r="3" spans="1:5">
      <c r="B3" s="2" t="n"/>
      <c r="C3" s="2" t="n"/>
    </row>
    <row customHeight="1" ht="22" r="4" spans="1:5" thickBot="1">
      <c r="B4" s="8" t="s">
        <v>2</v>
      </c>
      <c r="C4" s="5" t="n"/>
    </row>
    <row customHeight="1" ht="17" r="5" spans="1:5">
      <c r="B5" s="9" t="n"/>
      <c r="C5" s="10" t="s">
        <v>3</v>
      </c>
    </row>
    <row customHeight="1" ht="17" r="6" spans="1:5">
      <c r="B6" s="11" t="n"/>
      <c r="C6" s="12" t="s">
        <v>4</v>
      </c>
    </row>
    <row customHeight="1" ht="17" r="7" spans="1:5">
      <c r="B7" s="13" t="n"/>
      <c r="C7" s="12" t="s">
        <v>5</v>
      </c>
    </row>
    <row customHeight="1" ht="17" r="8" spans="1:5">
      <c r="B8" s="19" t="n"/>
      <c r="C8" s="12" t="s">
        <v>6</v>
      </c>
    </row>
    <row customHeight="1" ht="18" r="9" spans="1:5" thickBot="1">
      <c r="B9" s="20" t="s">
        <v>7</v>
      </c>
      <c r="C9" s="18" t="s">
        <v>8</v>
      </c>
    </row>
    <row customHeight="1" ht="17" r="10" spans="1:5">
      <c r="B10" s="6" t="n"/>
      <c r="C10" s="7" t="n"/>
    </row>
    <row customHeight="1" ht="22" r="11" spans="1:5" thickBot="1">
      <c r="B11" s="8" t="s">
        <v>9</v>
      </c>
      <c r="C11" s="14" t="n"/>
    </row>
    <row customHeight="1" ht="17" r="12" spans="1:5">
      <c r="B12" s="15" t="n">
        <v>1</v>
      </c>
      <c r="C12" s="10" t="s">
        <v>10</v>
      </c>
    </row>
    <row customHeight="1" ht="17" r="13" spans="1:5">
      <c r="B13" s="16" t="n">
        <v>2</v>
      </c>
      <c r="C13" s="12" t="s">
        <v>11</v>
      </c>
    </row>
    <row customHeight="1" ht="18" r="14" spans="1:5" thickBot="1">
      <c r="B14" s="17" t="n">
        <v>3</v>
      </c>
      <c r="C14" s="18" t="s">
        <v>12</v>
      </c>
    </row>
    <row customHeight="1" ht="21" r="29" spans="1:5">
      <c r="E29" s="4" t="s">
        <v>13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"/>
  <sheetViews>
    <sheetView showGridLines="0" workbookViewId="0">
      <selection activeCell="A1" sqref="A1"/>
    </sheetView>
  </sheetViews>
  <sheetFormatPr baseColWidth="8" defaultRowHeight="15" outlineLevelCol="0"/>
  <cols>
    <col customWidth="1" max="1" min="1" width="12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max="18" min="18" width="12"/>
    <col customWidth="1" max="19" min="19" width="12"/>
    <col customWidth="1" max="20" min="20" width="12"/>
    <col customWidth="1" max="21" min="21" width="12"/>
    <col customWidth="1" max="22" min="22" width="12"/>
    <col customWidth="1" max="23" min="23" width="12"/>
    <col customWidth="1" max="24" min="24" width="12"/>
    <col customWidth="1" max="25" min="25" width="12"/>
    <col customWidth="1" max="26" min="26" width="12"/>
    <col customWidth="1" max="27" min="27" width="12"/>
    <col customWidth="1" max="28" min="28" width="12"/>
    <col customWidth="1" max="29" min="29" width="12"/>
    <col customWidth="1" max="30" min="30" width="12"/>
    <col customWidth="1" max="31" min="31" width="12"/>
    <col customWidth="1" max="32" min="32" width="12"/>
    <col customWidth="1" max="33" min="33" width="12"/>
    <col customWidth="1" max="34" min="34" width="12"/>
    <col customWidth="1" max="35" min="35" width="12"/>
    <col customWidth="1" max="36" min="36" width="12"/>
  </cols>
  <sheetData>
    <row r="1" spans="1:36"/>
    <row r="2" spans="1:36"/>
    <row r="3" spans="1:36">
      <c r="B3" s="21" t="s">
        <v>14</v>
      </c>
    </row>
    <row r="4" spans="1:36">
      <c r="B4" s="22" t="s">
        <v>15</v>
      </c>
      <c r="C4" s="23" t="s">
        <v>16</v>
      </c>
      <c r="D4" s="23" t="s">
        <v>17</v>
      </c>
      <c r="E4" s="23" t="s">
        <v>18</v>
      </c>
      <c r="F4" s="23" t="s">
        <v>19</v>
      </c>
      <c r="G4" s="23" t="s">
        <v>20</v>
      </c>
      <c r="H4" s="24" t="s">
        <v>21</v>
      </c>
    </row>
    <row r="5" spans="1:36">
      <c r="B5" s="25" t="s">
        <v>22</v>
      </c>
      <c r="C5" s="26" t="n">
        <v>215.6335126376542</v>
      </c>
      <c r="D5" s="26" t="n">
        <v>42.5863119900257</v>
      </c>
      <c r="E5" s="27" t="n">
        <v>5.063446505726031</v>
      </c>
      <c r="F5" s="28" t="n"/>
      <c r="G5" s="29">
        <f>F5*SUMPRODUCT(J17:J35,L17:L35)</f>
        <v/>
      </c>
      <c r="H5" s="30">
        <f>F5*SUMPRODUCT(K17:K35,L17:L35)</f>
        <v/>
      </c>
    </row>
    <row r="6" spans="1:36">
      <c r="B6" s="25" t="s">
        <v>23</v>
      </c>
      <c r="C6" s="26" t="n">
        <v>227.5889898893951</v>
      </c>
      <c r="D6" s="26" t="n">
        <v>35.85301653218045</v>
      </c>
      <c r="E6" s="27" t="n">
        <v>6.347833792035852</v>
      </c>
      <c r="F6" s="28" t="n"/>
      <c r="G6" s="29">
        <f>F6*SUMPRODUCT(P17:P35,R17:R35)</f>
        <v/>
      </c>
      <c r="H6" s="30">
        <f>F6*SUMPRODUCT(Q17:Q35,R17:R35)</f>
        <v/>
      </c>
    </row>
    <row r="7" spans="1:36">
      <c r="B7" s="25" t="s">
        <v>24</v>
      </c>
      <c r="C7" s="26" t="n">
        <v>27.90659799394836</v>
      </c>
      <c r="D7" s="26" t="n">
        <v>30.1421029151119</v>
      </c>
      <c r="E7" s="27" t="n">
        <v>0.9258344738766466</v>
      </c>
      <c r="F7" s="28" t="n"/>
      <c r="G7" s="29">
        <f>F7*SUMPRODUCT(V17:V35,X17:X35)</f>
        <v/>
      </c>
      <c r="H7" s="30">
        <f>F7*SUMPRODUCT(W17:W35,X17:X35)</f>
        <v/>
      </c>
    </row>
    <row r="8" spans="1:36">
      <c r="B8" s="25" t="s">
        <v>25</v>
      </c>
      <c r="C8" s="26" t="n">
        <v>201.82554920738</v>
      </c>
      <c r="D8" s="26" t="n">
        <v>45.30546053998442</v>
      </c>
      <c r="E8" s="27" t="n">
        <v>4.454773151003694</v>
      </c>
      <c r="F8" s="28" t="n"/>
      <c r="G8" s="29">
        <f>F8*SUMPRODUCT(AB17:AB35,AD17:AD35)</f>
        <v/>
      </c>
      <c r="H8" s="30">
        <f>F8*SUMPRODUCT(AC17:AC35,AD17:AD35)</f>
        <v/>
      </c>
    </row>
    <row r="9" spans="1:36">
      <c r="B9" s="25" t="s">
        <v>26</v>
      </c>
      <c r="C9" s="26" t="n">
        <v>177.433035064982</v>
      </c>
      <c r="D9" s="26" t="n">
        <v>43.89324138272436</v>
      </c>
      <c r="E9" s="27" t="n">
        <v>4.042377128584918</v>
      </c>
      <c r="F9" s="28" t="n"/>
      <c r="G9" s="29">
        <f>F9*SUMPRODUCT(AH17:AH35,AJ17:AJ35)</f>
        <v/>
      </c>
      <c r="H9" s="30">
        <f>F9*SUMPRODUCT(AI17:AI35,AJ17:AJ35)</f>
        <v/>
      </c>
    </row>
    <row r="10" spans="1:36">
      <c r="B10" s="31" t="s">
        <v>27</v>
      </c>
      <c r="C10" s="32">
        <f>SUM(C5:C9)</f>
        <v/>
      </c>
      <c r="D10" s="32">
        <f>SUM(D5:D9)</f>
        <v/>
      </c>
      <c r="E10" s="33">
        <f>SUM(E5:E9)</f>
        <v/>
      </c>
      <c r="F10" s="32">
        <f>SUM(F5:F9)</f>
        <v/>
      </c>
      <c r="G10" s="32">
        <f>SUM(G5:G9)</f>
        <v/>
      </c>
      <c r="H10" s="34">
        <f>SUM(H5:H9)</f>
        <v/>
      </c>
    </row>
    <row r="11" spans="1:36">
      <c r="B11" s="35" t="s">
        <v>28</v>
      </c>
      <c r="C11" s="36" t="n"/>
      <c r="D11" s="36" t="n"/>
      <c r="E11" s="36" t="n"/>
      <c r="F11" s="37" t="n"/>
      <c r="G11" s="37" t="n"/>
      <c r="H11" s="38" t="n"/>
    </row>
    <row r="12" spans="1:36"/>
    <row r="13" spans="1:36"/>
    <row r="14" spans="1:36">
      <c r="B14" s="21" t="s">
        <v>29</v>
      </c>
    </row>
    <row r="15" spans="1:36">
      <c r="B15" s="39" t="n"/>
      <c r="C15" s="40" t="n"/>
      <c r="D15" s="41" t="s">
        <v>28</v>
      </c>
      <c r="E15" s="42" t="n"/>
      <c r="F15" s="43" t="n"/>
      <c r="G15" s="41" t="s">
        <v>22</v>
      </c>
      <c r="H15" s="42" t="n"/>
      <c r="I15" s="42" t="n"/>
      <c r="J15" s="42" t="n"/>
      <c r="K15" s="42" t="n"/>
      <c r="L15" s="43" t="n"/>
      <c r="M15" s="41" t="s">
        <v>23</v>
      </c>
      <c r="N15" s="42" t="n"/>
      <c r="O15" s="42" t="n"/>
      <c r="P15" s="42" t="n"/>
      <c r="Q15" s="42" t="n"/>
      <c r="R15" s="43" t="n"/>
      <c r="S15" s="41" t="s">
        <v>24</v>
      </c>
      <c r="T15" s="42" t="n"/>
      <c r="U15" s="42" t="n"/>
      <c r="V15" s="42" t="n"/>
      <c r="W15" s="42" t="n"/>
      <c r="X15" s="43" t="n"/>
      <c r="Y15" s="41" t="s">
        <v>25</v>
      </c>
      <c r="Z15" s="42" t="n"/>
      <c r="AA15" s="42" t="n"/>
      <c r="AB15" s="42" t="n"/>
      <c r="AC15" s="42" t="n"/>
      <c r="AD15" s="43" t="n"/>
      <c r="AE15" s="41" t="s">
        <v>26</v>
      </c>
      <c r="AF15" s="42" t="n"/>
      <c r="AG15" s="42" t="n"/>
      <c r="AH15" s="42" t="n"/>
      <c r="AI15" s="42" t="n"/>
      <c r="AJ15" s="44" t="n"/>
    </row>
    <row r="16" spans="1:36">
      <c r="B16" s="45" t="n"/>
      <c r="C16" s="46" t="s">
        <v>30</v>
      </c>
      <c r="D16" s="47" t="s">
        <v>31</v>
      </c>
      <c r="E16" s="47" t="s">
        <v>32</v>
      </c>
      <c r="F16" s="47" t="s">
        <v>33</v>
      </c>
      <c r="G16" s="47" t="s">
        <v>34</v>
      </c>
      <c r="H16" s="47" t="s">
        <v>35</v>
      </c>
      <c r="I16" s="47" t="s">
        <v>36</v>
      </c>
      <c r="J16" s="47" t="s">
        <v>31</v>
      </c>
      <c r="K16" s="47" t="s">
        <v>32</v>
      </c>
      <c r="L16" s="47" t="s">
        <v>33</v>
      </c>
      <c r="M16" s="47" t="s">
        <v>34</v>
      </c>
      <c r="N16" s="47" t="s">
        <v>35</v>
      </c>
      <c r="O16" s="47" t="s">
        <v>36</v>
      </c>
      <c r="P16" s="47" t="s">
        <v>31</v>
      </c>
      <c r="Q16" s="47" t="s">
        <v>32</v>
      </c>
      <c r="R16" s="47" t="s">
        <v>33</v>
      </c>
      <c r="S16" s="47" t="s">
        <v>34</v>
      </c>
      <c r="T16" s="47" t="s">
        <v>35</v>
      </c>
      <c r="U16" s="47" t="s">
        <v>36</v>
      </c>
      <c r="V16" s="47" t="s">
        <v>31</v>
      </c>
      <c r="W16" s="47" t="s">
        <v>32</v>
      </c>
      <c r="X16" s="47" t="s">
        <v>33</v>
      </c>
      <c r="Y16" s="47" t="s">
        <v>34</v>
      </c>
      <c r="Z16" s="47" t="s">
        <v>35</v>
      </c>
      <c r="AA16" s="47" t="s">
        <v>36</v>
      </c>
      <c r="AB16" s="47" t="s">
        <v>31</v>
      </c>
      <c r="AC16" s="47" t="s">
        <v>32</v>
      </c>
      <c r="AD16" s="47" t="s">
        <v>33</v>
      </c>
      <c r="AE16" s="47" t="s">
        <v>34</v>
      </c>
      <c r="AF16" s="47" t="s">
        <v>35</v>
      </c>
      <c r="AG16" s="47" t="s">
        <v>36</v>
      </c>
      <c r="AH16" s="47" t="s">
        <v>31</v>
      </c>
      <c r="AI16" s="47" t="s">
        <v>32</v>
      </c>
      <c r="AJ16" s="48" t="s">
        <v>33</v>
      </c>
    </row>
    <row r="17" spans="1:36">
      <c r="B17" s="49" t="s">
        <v>37</v>
      </c>
      <c r="C17" s="50" t="s">
        <v>38</v>
      </c>
      <c r="D17" s="51" t="n">
        <v>6</v>
      </c>
      <c r="E17" s="51" t="n">
        <v>6</v>
      </c>
      <c r="F17" s="52" t="n">
        <v>6</v>
      </c>
      <c r="G17" s="26" t="n">
        <v>6.197894736842105</v>
      </c>
      <c r="H17" s="26" t="n">
        <v>7.677368421052631</v>
      </c>
      <c r="I17" s="27" t="n">
        <v>0.0001911324598244599</v>
      </c>
      <c r="J17" s="28" t="n">
        <v>1</v>
      </c>
      <c r="K17" s="28" t="n">
        <v>1</v>
      </c>
      <c r="L17" s="53" t="n">
        <v>1</v>
      </c>
      <c r="M17" s="26" t="n">
        <v>5.96775</v>
      </c>
      <c r="N17" s="26" t="n">
        <v>7.660833333333333</v>
      </c>
      <c r="O17" s="27" t="n">
        <v>0.0002859348640379721</v>
      </c>
      <c r="P17" s="28" t="n">
        <v>9</v>
      </c>
      <c r="Q17" s="28" t="n">
        <v>9</v>
      </c>
      <c r="R17" s="53" t="n">
        <v>9</v>
      </c>
      <c r="S17" s="26" t="n">
        <v>0</v>
      </c>
      <c r="T17" s="26" t="n">
        <v>0</v>
      </c>
      <c r="U17" s="27" t="n">
        <v>0</v>
      </c>
      <c r="V17" s="28" t="n">
        <v>2</v>
      </c>
      <c r="W17" s="28" t="n">
        <v>2</v>
      </c>
      <c r="X17" s="53" t="n">
        <v>2</v>
      </c>
      <c r="Y17" s="26" t="n">
        <v>6.097413461538462</v>
      </c>
      <c r="Z17" s="26" t="n">
        <v>7.669278846153846</v>
      </c>
      <c r="AA17" s="27" t="n">
        <v>0.002794436920960426</v>
      </c>
      <c r="AB17" s="28" t="n">
        <v>3</v>
      </c>
      <c r="AC17" s="28" t="n">
        <v>3</v>
      </c>
      <c r="AD17" s="53" t="n">
        <v>3</v>
      </c>
      <c r="AE17" s="26" t="n">
        <v>6.261083333333334</v>
      </c>
      <c r="AF17" s="26" t="n">
        <v>7.867833333333333</v>
      </c>
      <c r="AG17" s="27" t="n">
        <v>0.000733523234348448</v>
      </c>
      <c r="AH17" s="28" t="n">
        <v>4</v>
      </c>
      <c r="AI17" s="28" t="n">
        <v>4</v>
      </c>
      <c r="AJ17" s="54" t="n">
        <v>4</v>
      </c>
    </row>
    <row r="18" spans="1:36">
      <c r="B18" s="55" t="n"/>
      <c r="C18" s="50" t="s">
        <v>39</v>
      </c>
      <c r="D18" s="51" t="n">
        <v>1</v>
      </c>
      <c r="E18" s="51" t="n">
        <v>1</v>
      </c>
      <c r="F18" s="52" t="n">
        <v>1</v>
      </c>
      <c r="G18" s="26" t="n">
        <v>4.79122009569378</v>
      </c>
      <c r="H18" s="26" t="n">
        <v>5.953827751196171</v>
      </c>
      <c r="I18" s="27" t="n">
        <v>0.001051228529034529</v>
      </c>
      <c r="J18" s="28" t="n">
        <v>2</v>
      </c>
      <c r="K18" s="28" t="n">
        <v>2</v>
      </c>
      <c r="L18" s="53" t="n">
        <v>2</v>
      </c>
      <c r="M18" s="26" t="n">
        <v>0</v>
      </c>
      <c r="N18" s="26" t="n">
        <v>0</v>
      </c>
      <c r="O18" s="27" t="n">
        <v>0</v>
      </c>
      <c r="P18" s="28" t="n">
        <v>1</v>
      </c>
      <c r="Q18" s="28" t="n">
        <v>1</v>
      </c>
      <c r="R18" s="53" t="n">
        <v>1</v>
      </c>
      <c r="S18" s="26" t="n">
        <v>0</v>
      </c>
      <c r="T18" s="26" t="n">
        <v>0</v>
      </c>
      <c r="U18" s="27" t="n">
        <v>0</v>
      </c>
      <c r="V18" s="28" t="n">
        <v>3</v>
      </c>
      <c r="W18" s="28" t="n">
        <v>3</v>
      </c>
      <c r="X18" s="53" t="n">
        <v>3</v>
      </c>
      <c r="Y18" s="26" t="n">
        <v>0</v>
      </c>
      <c r="Z18" s="26" t="n">
        <v>0</v>
      </c>
      <c r="AA18" s="27" t="n">
        <v>0</v>
      </c>
      <c r="AB18" s="28" t="n">
        <v>7</v>
      </c>
      <c r="AC18" s="28" t="n">
        <v>7</v>
      </c>
      <c r="AD18" s="53" t="n">
        <v>7</v>
      </c>
      <c r="AE18" s="26" t="n">
        <v>0</v>
      </c>
      <c r="AF18" s="26" t="n">
        <v>0</v>
      </c>
      <c r="AG18" s="27" t="n">
        <v>0</v>
      </c>
      <c r="AH18" s="28" t="n">
        <v>1</v>
      </c>
      <c r="AI18" s="28" t="n">
        <v>1</v>
      </c>
      <c r="AJ18" s="54" t="n">
        <v>1</v>
      </c>
    </row>
    <row r="19" spans="1:36">
      <c r="B19" s="55" t="n"/>
      <c r="C19" s="50" t="s">
        <v>40</v>
      </c>
      <c r="D19" s="51" t="n">
        <v>6</v>
      </c>
      <c r="E19" s="51" t="n">
        <v>6</v>
      </c>
      <c r="F19" s="52" t="n">
        <v>6</v>
      </c>
      <c r="G19" s="26" t="n">
        <v>5.335188327814569</v>
      </c>
      <c r="H19" s="26" t="n">
        <v>6.81426738410596</v>
      </c>
      <c r="I19" s="27" t="n">
        <v>0.01215200060357619</v>
      </c>
      <c r="J19" s="28" t="n">
        <v>3</v>
      </c>
      <c r="K19" s="28" t="n">
        <v>3</v>
      </c>
      <c r="L19" s="53" t="n">
        <v>3</v>
      </c>
      <c r="M19" s="26" t="n">
        <v>5.312876288659794</v>
      </c>
      <c r="N19" s="26" t="n">
        <v>6.795584192439863</v>
      </c>
      <c r="O19" s="27" t="n">
        <v>0.01386784090584165</v>
      </c>
      <c r="P19" s="28" t="n">
        <v>8</v>
      </c>
      <c r="Q19" s="28" t="n">
        <v>8</v>
      </c>
      <c r="R19" s="53" t="n">
        <v>8</v>
      </c>
      <c r="S19" s="26" t="n">
        <v>5.474758333333333</v>
      </c>
      <c r="T19" s="26" t="n">
        <v>6.820387500000001</v>
      </c>
      <c r="U19" s="27" t="n">
        <v>0.04663816556548776</v>
      </c>
      <c r="V19" s="28" t="n">
        <v>6</v>
      </c>
      <c r="W19" s="28" t="n">
        <v>6</v>
      </c>
      <c r="X19" s="53" t="n">
        <v>6</v>
      </c>
      <c r="Y19" s="26" t="n">
        <v>5.313051558752997</v>
      </c>
      <c r="Z19" s="26" t="n">
        <v>6.788541167066347</v>
      </c>
      <c r="AA19" s="27" t="n">
        <v>0.01344554072354421</v>
      </c>
      <c r="AB19" s="28" t="n">
        <v>1</v>
      </c>
      <c r="AC19" s="28" t="n">
        <v>1</v>
      </c>
      <c r="AD19" s="53" t="n">
        <v>1</v>
      </c>
      <c r="AE19" s="26" t="n">
        <v>5.339834710743801</v>
      </c>
      <c r="AF19" s="26" t="n">
        <v>6.784496384297521</v>
      </c>
      <c r="AG19" s="27" t="n">
        <v>0.01183417484748829</v>
      </c>
      <c r="AH19" s="28" t="n">
        <v>8</v>
      </c>
      <c r="AI19" s="28" t="n">
        <v>8</v>
      </c>
      <c r="AJ19" s="54" t="n">
        <v>8</v>
      </c>
    </row>
    <row r="20" spans="1:36">
      <c r="B20" s="55" t="n"/>
      <c r="C20" s="50" t="s">
        <v>41</v>
      </c>
      <c r="D20" s="51" t="n">
        <v>1</v>
      </c>
      <c r="E20" s="51" t="n">
        <v>1</v>
      </c>
      <c r="F20" s="52" t="n">
        <v>1</v>
      </c>
      <c r="G20" s="26" t="n">
        <v>4.459014670896114</v>
      </c>
      <c r="H20" s="26" t="n">
        <v>5.570747422680411</v>
      </c>
      <c r="I20" s="27" t="n">
        <v>0.02537031914090989</v>
      </c>
      <c r="J20" s="28" t="n">
        <v>4</v>
      </c>
      <c r="K20" s="28" t="n">
        <v>4</v>
      </c>
      <c r="L20" s="53" t="n">
        <v>4</v>
      </c>
      <c r="M20" s="26" t="n">
        <v>4.456627296587927</v>
      </c>
      <c r="N20" s="26" t="n">
        <v>5.577708661417322</v>
      </c>
      <c r="O20" s="27" t="n">
        <v>0.03631372773282247</v>
      </c>
      <c r="P20" s="28" t="n">
        <v>2</v>
      </c>
      <c r="Q20" s="28" t="n">
        <v>2</v>
      </c>
      <c r="R20" s="53" t="n">
        <v>2</v>
      </c>
      <c r="S20" s="26" t="n">
        <v>4.486253019323671</v>
      </c>
      <c r="T20" s="26" t="n">
        <v>5.608867753623188</v>
      </c>
      <c r="U20" s="27" t="n">
        <v>0.06436066848037311</v>
      </c>
      <c r="V20" s="28" t="n">
        <v>9</v>
      </c>
      <c r="W20" s="28" t="n">
        <v>9</v>
      </c>
      <c r="X20" s="53" t="n">
        <v>9</v>
      </c>
      <c r="Y20" s="26" t="n">
        <v>4.461422132421511</v>
      </c>
      <c r="Z20" s="26" t="n">
        <v>5.587176717438607</v>
      </c>
      <c r="AA20" s="27" t="n">
        <v>0.03457578297972958</v>
      </c>
      <c r="AB20" s="28" t="n">
        <v>8</v>
      </c>
      <c r="AC20" s="28" t="n">
        <v>8</v>
      </c>
      <c r="AD20" s="53" t="n">
        <v>8</v>
      </c>
      <c r="AE20" s="26" t="n">
        <v>4.438567556634304</v>
      </c>
      <c r="AF20" s="26" t="n">
        <v>5.557719660194175</v>
      </c>
      <c r="AG20" s="27" t="n">
        <v>0.07555289313789014</v>
      </c>
      <c r="AH20" s="28" t="n">
        <v>2</v>
      </c>
      <c r="AI20" s="28" t="n">
        <v>2</v>
      </c>
      <c r="AJ20" s="54" t="n">
        <v>2</v>
      </c>
    </row>
    <row r="21" spans="1:36">
      <c r="B21" s="55" t="n"/>
      <c r="C21" s="50" t="s">
        <v>42</v>
      </c>
      <c r="D21" s="51" t="n">
        <v>6</v>
      </c>
      <c r="E21" s="51" t="n">
        <v>6</v>
      </c>
      <c r="F21" s="52" t="n">
        <v>6</v>
      </c>
      <c r="G21" s="26" t="n">
        <v>2.570030269058296</v>
      </c>
      <c r="H21" s="26" t="n">
        <v>3.766701793721973</v>
      </c>
      <c r="I21" s="27" t="n">
        <v>0.0224329150215024</v>
      </c>
      <c r="J21" s="28" t="n">
        <v>5</v>
      </c>
      <c r="K21" s="28" t="n">
        <v>5</v>
      </c>
      <c r="L21" s="53" t="n">
        <v>5</v>
      </c>
      <c r="M21" s="26" t="n">
        <v>2.557090699927343</v>
      </c>
      <c r="N21" s="26" t="n">
        <v>3.738438483894406</v>
      </c>
      <c r="O21" s="27" t="n">
        <v>0.03935416845375957</v>
      </c>
      <c r="P21" s="28" t="n">
        <v>3</v>
      </c>
      <c r="Q21" s="28" t="n">
        <v>3</v>
      </c>
      <c r="R21" s="53" t="n">
        <v>3</v>
      </c>
      <c r="S21" s="26" t="n">
        <v>2.579246240601504</v>
      </c>
      <c r="T21" s="26" t="n">
        <v>3.755842105263158</v>
      </c>
      <c r="U21" s="27" t="n">
        <v>0.1033812670034979</v>
      </c>
      <c r="V21" s="28" t="n">
        <v>5</v>
      </c>
      <c r="W21" s="28" t="n">
        <v>5</v>
      </c>
      <c r="X21" s="53" t="n">
        <v>5</v>
      </c>
      <c r="Y21" s="26" t="n">
        <v>2.530436950146628</v>
      </c>
      <c r="Z21" s="26" t="n">
        <v>3.724304985337243</v>
      </c>
      <c r="AA21" s="27" t="n">
        <v>0.03665011500182713</v>
      </c>
      <c r="AB21" s="28" t="n">
        <v>1</v>
      </c>
      <c r="AC21" s="28" t="n">
        <v>1</v>
      </c>
      <c r="AD21" s="53" t="n">
        <v>1</v>
      </c>
      <c r="AE21" s="26" t="n">
        <v>2.528779761904763</v>
      </c>
      <c r="AF21" s="26" t="n">
        <v>3.736008022774327</v>
      </c>
      <c r="AG21" s="27" t="n">
        <v>0.07085834443806008</v>
      </c>
      <c r="AH21" s="28" t="n">
        <v>7</v>
      </c>
      <c r="AI21" s="28" t="n">
        <v>7</v>
      </c>
      <c r="AJ21" s="54" t="n">
        <v>7</v>
      </c>
    </row>
    <row r="22" spans="1:36">
      <c r="B22" s="55" t="n"/>
      <c r="C22" s="50" t="s">
        <v>43</v>
      </c>
      <c r="D22" s="51" t="n">
        <v>7</v>
      </c>
      <c r="E22" s="51" t="n">
        <v>7</v>
      </c>
      <c r="F22" s="52" t="n">
        <v>7</v>
      </c>
      <c r="G22" s="26" t="n">
        <v>1.839958722858866</v>
      </c>
      <c r="H22" s="26" t="n">
        <v>3.033024917068757</v>
      </c>
      <c r="I22" s="27" t="n">
        <v>0.1334305761637703</v>
      </c>
      <c r="J22" s="28" t="n">
        <v>7</v>
      </c>
      <c r="K22" s="28" t="n">
        <v>7</v>
      </c>
      <c r="L22" s="53" t="n">
        <v>7</v>
      </c>
      <c r="M22" s="26" t="n">
        <v>1.792722009202454</v>
      </c>
      <c r="N22" s="26" t="n">
        <v>2.995761503067484</v>
      </c>
      <c r="O22" s="27" t="n">
        <v>0.06214317711758595</v>
      </c>
      <c r="P22" s="28" t="n">
        <v>9</v>
      </c>
      <c r="Q22" s="28" t="n">
        <v>9</v>
      </c>
      <c r="R22" s="53" t="n">
        <v>9</v>
      </c>
      <c r="S22" s="26" t="n">
        <v>1.787576388888889</v>
      </c>
      <c r="T22" s="26" t="n">
        <v>2.979277777777777</v>
      </c>
      <c r="U22" s="27" t="n">
        <v>0.05596579867858531</v>
      </c>
      <c r="V22" s="28" t="n">
        <v>4</v>
      </c>
      <c r="W22" s="28" t="n">
        <v>4</v>
      </c>
      <c r="X22" s="53" t="n">
        <v>4</v>
      </c>
      <c r="Y22" s="26" t="n">
        <v>1.783505384615384</v>
      </c>
      <c r="Z22" s="26" t="n">
        <v>2.993079807692308</v>
      </c>
      <c r="AA22" s="27" t="n">
        <v>0.1397218460480213</v>
      </c>
      <c r="AB22" s="28" t="n">
        <v>3</v>
      </c>
      <c r="AC22" s="28" t="n">
        <v>3</v>
      </c>
      <c r="AD22" s="53" t="n">
        <v>3</v>
      </c>
      <c r="AE22" s="26" t="n">
        <v>1.847596685082873</v>
      </c>
      <c r="AF22" s="26" t="n">
        <v>3.040438190607735</v>
      </c>
      <c r="AG22" s="27" t="n">
        <v>0.08851180361137939</v>
      </c>
      <c r="AH22" s="28" t="n">
        <v>7</v>
      </c>
      <c r="AI22" s="28" t="n">
        <v>7</v>
      </c>
      <c r="AJ22" s="54" t="n">
        <v>7</v>
      </c>
    </row>
    <row r="23" spans="1:36">
      <c r="B23" s="55" t="n"/>
      <c r="C23" s="50" t="s">
        <v>44</v>
      </c>
      <c r="D23" s="51" t="n">
        <v>9</v>
      </c>
      <c r="E23" s="51" t="n">
        <v>9</v>
      </c>
      <c r="F23" s="52" t="n">
        <v>9</v>
      </c>
      <c r="G23" s="26" t="n">
        <v>0.875201623049824</v>
      </c>
      <c r="H23" s="26" t="n">
        <v>1.965564135631605</v>
      </c>
      <c r="I23" s="27" t="n">
        <v>0.1599074516510324</v>
      </c>
      <c r="J23" s="28" t="n">
        <v>4</v>
      </c>
      <c r="K23" s="28" t="n">
        <v>4</v>
      </c>
      <c r="L23" s="53" t="n">
        <v>4</v>
      </c>
      <c r="M23" s="26" t="n">
        <v>0.8423020386266095</v>
      </c>
      <c r="N23" s="26" t="n">
        <v>1.962671405579399</v>
      </c>
      <c r="O23" s="27" t="n">
        <v>0.08883043109446334</v>
      </c>
      <c r="P23" s="28" t="n">
        <v>3</v>
      </c>
      <c r="Q23" s="28" t="n">
        <v>3</v>
      </c>
      <c r="R23" s="53" t="n">
        <v>3</v>
      </c>
      <c r="S23" s="26" t="n">
        <v>0.8855232558139534</v>
      </c>
      <c r="T23" s="26" t="n">
        <v>1.976914244186047</v>
      </c>
      <c r="U23" s="27" t="n">
        <v>0.1336960746210649</v>
      </c>
      <c r="V23" s="28" t="n">
        <v>6</v>
      </c>
      <c r="W23" s="28" t="n">
        <v>6</v>
      </c>
      <c r="X23" s="53" t="n">
        <v>6</v>
      </c>
      <c r="Y23" s="26" t="n">
        <v>0.8739625880281691</v>
      </c>
      <c r="Z23" s="26" t="n">
        <v>1.974122799295775</v>
      </c>
      <c r="AA23" s="27" t="n">
        <v>0.1220953977773479</v>
      </c>
      <c r="AB23" s="28" t="n">
        <v>6</v>
      </c>
      <c r="AC23" s="28" t="n">
        <v>6</v>
      </c>
      <c r="AD23" s="53" t="n">
        <v>6</v>
      </c>
      <c r="AE23" s="26" t="n">
        <v>0.8163198943215954</v>
      </c>
      <c r="AF23" s="26" t="n">
        <v>1.928981940573993</v>
      </c>
      <c r="AG23" s="27" t="n">
        <v>0.1688998374023497</v>
      </c>
      <c r="AH23" s="28" t="n">
        <v>5</v>
      </c>
      <c r="AI23" s="28" t="n">
        <v>5</v>
      </c>
      <c r="AJ23" s="54" t="n">
        <v>5</v>
      </c>
    </row>
    <row r="24" spans="1:36">
      <c r="B24" s="55" t="n"/>
      <c r="C24" s="50" t="s">
        <v>45</v>
      </c>
      <c r="D24" s="51" t="n">
        <v>5</v>
      </c>
      <c r="E24" s="51" t="n">
        <v>5</v>
      </c>
      <c r="F24" s="52" t="n">
        <v>5</v>
      </c>
      <c r="G24" s="26" t="n">
        <v>0.39890625</v>
      </c>
      <c r="H24" s="26" t="n">
        <v>1.5893125</v>
      </c>
      <c r="I24" s="27" t="n">
        <v>0.001609536503784926</v>
      </c>
      <c r="J24" s="28" t="n">
        <v>8</v>
      </c>
      <c r="K24" s="28" t="n">
        <v>8</v>
      </c>
      <c r="L24" s="53" t="n">
        <v>8</v>
      </c>
      <c r="M24" s="26" t="n">
        <v>0</v>
      </c>
      <c r="N24" s="26" t="n">
        <v>0</v>
      </c>
      <c r="O24" s="27" t="n">
        <v>0</v>
      </c>
      <c r="P24" s="28" t="n">
        <v>9</v>
      </c>
      <c r="Q24" s="28" t="n">
        <v>9</v>
      </c>
      <c r="R24" s="53" t="n">
        <v>9</v>
      </c>
      <c r="S24" s="26" t="n">
        <v>0.5078750000000001</v>
      </c>
      <c r="T24" s="26" t="n">
        <v>1.72146875</v>
      </c>
      <c r="U24" s="27" t="n">
        <v>0.006218422075398368</v>
      </c>
      <c r="V24" s="28" t="n">
        <v>6</v>
      </c>
      <c r="W24" s="28" t="n">
        <v>6</v>
      </c>
      <c r="X24" s="53" t="n">
        <v>6</v>
      </c>
      <c r="Y24" s="26" t="n">
        <v>0.48484375</v>
      </c>
      <c r="Z24" s="26" t="n">
        <v>1.7216875</v>
      </c>
      <c r="AA24" s="27" t="n">
        <v>0.0008598267449109005</v>
      </c>
      <c r="AB24" s="28" t="n">
        <v>9</v>
      </c>
      <c r="AC24" s="28" t="n">
        <v>9</v>
      </c>
      <c r="AD24" s="53" t="n">
        <v>9</v>
      </c>
      <c r="AE24" s="26" t="n">
        <v>0</v>
      </c>
      <c r="AF24" s="26" t="n">
        <v>0</v>
      </c>
      <c r="AG24" s="27" t="n">
        <v>0</v>
      </c>
      <c r="AH24" s="28" t="n">
        <v>8</v>
      </c>
      <c r="AI24" s="28" t="n">
        <v>8</v>
      </c>
      <c r="AJ24" s="54" t="n">
        <v>8</v>
      </c>
    </row>
    <row r="25" spans="1:36">
      <c r="B25" s="56" t="n"/>
      <c r="C25" s="50" t="s">
        <v>46</v>
      </c>
      <c r="D25" s="51" t="n">
        <v>6</v>
      </c>
      <c r="E25" s="51" t="n">
        <v>6</v>
      </c>
      <c r="F25" s="52" t="n">
        <v>6</v>
      </c>
      <c r="G25" s="26" t="n">
        <v>1.84134375</v>
      </c>
      <c r="H25" s="26" t="n">
        <v>2.93434375</v>
      </c>
      <c r="I25" s="27" t="n">
        <v>0.0008047682518924628</v>
      </c>
      <c r="J25" s="28" t="n">
        <v>6</v>
      </c>
      <c r="K25" s="28" t="n">
        <v>6</v>
      </c>
      <c r="L25" s="53" t="n">
        <v>6</v>
      </c>
      <c r="M25" s="26" t="n">
        <v>0.70125</v>
      </c>
      <c r="N25" s="26" t="n">
        <v>1.5965625</v>
      </c>
      <c r="O25" s="27" t="n">
        <v>0.0007624929707679257</v>
      </c>
      <c r="P25" s="28" t="n">
        <v>3</v>
      </c>
      <c r="Q25" s="28" t="n">
        <v>3</v>
      </c>
      <c r="R25" s="53" t="n">
        <v>3</v>
      </c>
      <c r="S25" s="26" t="n">
        <v>1.178821428571428</v>
      </c>
      <c r="T25" s="26" t="n">
        <v>2.345714285714286</v>
      </c>
      <c r="U25" s="27" t="n">
        <v>0.005441119315973571</v>
      </c>
      <c r="V25" s="28" t="n">
        <v>6</v>
      </c>
      <c r="W25" s="28" t="n">
        <v>6</v>
      </c>
      <c r="X25" s="53" t="n">
        <v>6</v>
      </c>
      <c r="Y25" s="26" t="n">
        <v>2.731971428571428</v>
      </c>
      <c r="Z25" s="26" t="n">
        <v>4.263742857142857</v>
      </c>
      <c r="AA25" s="27" t="n">
        <v>0.001880871004492595</v>
      </c>
      <c r="AB25" s="28" t="n">
        <v>9</v>
      </c>
      <c r="AC25" s="28" t="n">
        <v>9</v>
      </c>
      <c r="AD25" s="53" t="n">
        <v>9</v>
      </c>
      <c r="AE25" s="26" t="n">
        <v>0.70740625</v>
      </c>
      <c r="AF25" s="26" t="n">
        <v>1.60709375</v>
      </c>
      <c r="AG25" s="27" t="n">
        <v>0.0009780309791312641</v>
      </c>
      <c r="AH25" s="28" t="n">
        <v>6</v>
      </c>
      <c r="AI25" s="28" t="n">
        <v>6</v>
      </c>
      <c r="AJ25" s="54" t="n">
        <v>6</v>
      </c>
    </row>
    <row r="26" spans="1:36">
      <c r="B26" s="49" t="s">
        <v>47</v>
      </c>
      <c r="C26" s="50" t="s">
        <v>48</v>
      </c>
      <c r="D26" s="51" t="n">
        <v>7</v>
      </c>
      <c r="E26" s="51" t="n">
        <v>7</v>
      </c>
      <c r="F26" s="52" t="n">
        <v>7</v>
      </c>
      <c r="G26" s="26" t="n">
        <v>3.407166666666666</v>
      </c>
      <c r="H26" s="26" t="n">
        <v>4.290944444444444</v>
      </c>
      <c r="I26" s="27" t="n">
        <v>0.0004526821416895104</v>
      </c>
      <c r="J26" s="28" t="n">
        <v>4</v>
      </c>
      <c r="K26" s="28" t="n">
        <v>4</v>
      </c>
      <c r="L26" s="53" t="n">
        <v>4</v>
      </c>
      <c r="M26" s="26" t="n">
        <v>1.573455555555555</v>
      </c>
      <c r="N26" s="26" t="n">
        <v>2.633455555555555</v>
      </c>
      <c r="O26" s="27" t="n">
        <v>0.002144511480284791</v>
      </c>
      <c r="P26" s="28" t="n">
        <v>6</v>
      </c>
      <c r="Q26" s="28" t="n">
        <v>6</v>
      </c>
      <c r="R26" s="53" t="n">
        <v>6</v>
      </c>
      <c r="S26" s="26" t="n">
        <v>0</v>
      </c>
      <c r="T26" s="26" t="n">
        <v>0</v>
      </c>
      <c r="U26" s="27" t="n">
        <v>0</v>
      </c>
      <c r="V26" s="28" t="n">
        <v>3</v>
      </c>
      <c r="W26" s="28" t="n">
        <v>3</v>
      </c>
      <c r="X26" s="53" t="n">
        <v>3</v>
      </c>
      <c r="Y26" s="26" t="n">
        <v>3.623267241379311</v>
      </c>
      <c r="Z26" s="26" t="n">
        <v>4.540646551724137</v>
      </c>
      <c r="AA26" s="27" t="n">
        <v>0.003116871950302014</v>
      </c>
      <c r="AB26" s="28" t="n">
        <v>4</v>
      </c>
      <c r="AC26" s="28" t="n">
        <v>4</v>
      </c>
      <c r="AD26" s="53" t="n">
        <v>4</v>
      </c>
      <c r="AE26" s="26" t="n">
        <v>0</v>
      </c>
      <c r="AF26" s="26" t="n">
        <v>0</v>
      </c>
      <c r="AG26" s="27" t="n">
        <v>0</v>
      </c>
      <c r="AH26" s="28" t="n">
        <v>7</v>
      </c>
      <c r="AI26" s="28" t="n">
        <v>7</v>
      </c>
      <c r="AJ26" s="54" t="n">
        <v>7</v>
      </c>
    </row>
    <row r="27" spans="1:36">
      <c r="B27" s="55" t="n"/>
      <c r="C27" s="50" t="s">
        <v>49</v>
      </c>
      <c r="D27" s="51" t="n">
        <v>9</v>
      </c>
      <c r="E27" s="51" t="n">
        <v>9</v>
      </c>
      <c r="F27" s="52" t="n">
        <v>9</v>
      </c>
      <c r="G27" s="26" t="n">
        <v>1.810537037037037</v>
      </c>
      <c r="H27" s="26" t="n">
        <v>2.680212962962963</v>
      </c>
      <c r="I27" s="27" t="n">
        <v>0.002716092850137062</v>
      </c>
      <c r="J27" s="28" t="n">
        <v>4</v>
      </c>
      <c r="K27" s="28" t="n">
        <v>4</v>
      </c>
      <c r="L27" s="53" t="n">
        <v>4</v>
      </c>
      <c r="M27" s="26" t="n">
        <v>1.779985185185185</v>
      </c>
      <c r="N27" s="26" t="n">
        <v>2.653825925925926</v>
      </c>
      <c r="O27" s="27" t="n">
        <v>0.006433534440854373</v>
      </c>
      <c r="P27" s="28" t="n">
        <v>9</v>
      </c>
      <c r="Q27" s="28" t="n">
        <v>9</v>
      </c>
      <c r="R27" s="53" t="n">
        <v>9</v>
      </c>
      <c r="S27" s="26" t="n">
        <v>1.722569089048106</v>
      </c>
      <c r="T27" s="26" t="n">
        <v>2.641709314227226</v>
      </c>
      <c r="U27" s="27" t="n">
        <v>0.07594247959580257</v>
      </c>
      <c r="V27" s="28" t="n">
        <v>2</v>
      </c>
      <c r="W27" s="28" t="n">
        <v>2</v>
      </c>
      <c r="X27" s="53" t="n">
        <v>2</v>
      </c>
      <c r="Y27" s="26" t="n">
        <v>1.726921232876712</v>
      </c>
      <c r="Z27" s="26" t="n">
        <v>2.641602739726028</v>
      </c>
      <c r="AA27" s="27" t="n">
        <v>0.007845919047311967</v>
      </c>
      <c r="AB27" s="28" t="n">
        <v>4</v>
      </c>
      <c r="AC27" s="28" t="n">
        <v>4</v>
      </c>
      <c r="AD27" s="53" t="n">
        <v>4</v>
      </c>
      <c r="AE27" s="26" t="n">
        <v>1.719280193236715</v>
      </c>
      <c r="AF27" s="26" t="n">
        <v>2.585512077294686</v>
      </c>
      <c r="AG27" s="27" t="n">
        <v>0.006326637896255364</v>
      </c>
      <c r="AH27" s="28" t="n">
        <v>1</v>
      </c>
      <c r="AI27" s="28" t="n">
        <v>1</v>
      </c>
      <c r="AJ27" s="54" t="n">
        <v>1</v>
      </c>
    </row>
    <row r="28" spans="1:36">
      <c r="B28" s="55" t="n"/>
      <c r="C28" s="50" t="s">
        <v>50</v>
      </c>
      <c r="D28" s="51" t="n">
        <v>5</v>
      </c>
      <c r="E28" s="51" t="n">
        <v>5</v>
      </c>
      <c r="F28" s="52" t="n">
        <v>5</v>
      </c>
      <c r="G28" s="26" t="n">
        <v>1.146804962809413</v>
      </c>
      <c r="H28" s="26" t="n">
        <v>2.147511888794049</v>
      </c>
      <c r="I28" s="27" t="n">
        <v>0.08249880542212609</v>
      </c>
      <c r="J28" s="28" t="n">
        <v>8</v>
      </c>
      <c r="K28" s="28" t="n">
        <v>8</v>
      </c>
      <c r="L28" s="53" t="n">
        <v>8</v>
      </c>
      <c r="M28" s="26" t="n">
        <v>1.138905602636535</v>
      </c>
      <c r="N28" s="26" t="n">
        <v>2.143631826741996</v>
      </c>
      <c r="O28" s="27" t="n">
        <v>0.1012209418694421</v>
      </c>
      <c r="P28" s="28" t="n">
        <v>7</v>
      </c>
      <c r="Q28" s="28" t="n">
        <v>7</v>
      </c>
      <c r="R28" s="53" t="n">
        <v>7</v>
      </c>
      <c r="S28" s="26" t="n">
        <v>1.145297606659729</v>
      </c>
      <c r="T28" s="26" t="n">
        <v>2.156189906347554</v>
      </c>
      <c r="U28" s="27" t="n">
        <v>0.3734939759036144</v>
      </c>
      <c r="V28" s="28" t="n">
        <v>4</v>
      </c>
      <c r="W28" s="28" t="n">
        <v>4</v>
      </c>
      <c r="X28" s="53" t="n">
        <v>4</v>
      </c>
      <c r="Y28" s="26" t="n">
        <v>1.132860763358778</v>
      </c>
      <c r="Z28" s="26" t="n">
        <v>2.136853435114504</v>
      </c>
      <c r="AA28" s="27" t="n">
        <v>0.1759957868489499</v>
      </c>
      <c r="AB28" s="28" t="n">
        <v>9</v>
      </c>
      <c r="AC28" s="28" t="n">
        <v>9</v>
      </c>
      <c r="AD28" s="53" t="n">
        <v>9</v>
      </c>
      <c r="AE28" s="26" t="n">
        <v>1.131084269662921</v>
      </c>
      <c r="AF28" s="26" t="n">
        <v>2.132088658707866</v>
      </c>
      <c r="AG28" s="27" t="n">
        <v>0.174089514285365</v>
      </c>
      <c r="AH28" s="28" t="n">
        <v>4</v>
      </c>
      <c r="AI28" s="28" t="n">
        <v>4</v>
      </c>
      <c r="AJ28" s="54" t="n">
        <v>4</v>
      </c>
    </row>
    <row r="29" spans="1:36">
      <c r="B29" s="55" t="n"/>
      <c r="C29" s="50" t="s">
        <v>51</v>
      </c>
      <c r="D29" s="51" t="n">
        <v>9</v>
      </c>
      <c r="E29" s="51" t="n">
        <v>9</v>
      </c>
      <c r="F29" s="52" t="n">
        <v>9</v>
      </c>
      <c r="G29" s="26" t="n">
        <v>1.04449497716895</v>
      </c>
      <c r="H29" s="26" t="n">
        <v>2.068917351598174</v>
      </c>
      <c r="I29" s="27" t="n">
        <v>0.05507632723889042</v>
      </c>
      <c r="J29" s="28" t="n">
        <v>5</v>
      </c>
      <c r="K29" s="28" t="n">
        <v>5</v>
      </c>
      <c r="L29" s="53" t="n">
        <v>5</v>
      </c>
      <c r="M29" s="26" t="n">
        <v>1.004122147881283</v>
      </c>
      <c r="N29" s="26" t="n">
        <v>2.033882655687082</v>
      </c>
      <c r="O29" s="27" t="n">
        <v>0.27778572041289</v>
      </c>
      <c r="P29" s="28" t="n">
        <v>1</v>
      </c>
      <c r="Q29" s="28" t="n">
        <v>1</v>
      </c>
      <c r="R29" s="53" t="n">
        <v>1</v>
      </c>
      <c r="S29" s="26" t="n">
        <v>1.050222222222222</v>
      </c>
      <c r="T29" s="26" t="n">
        <v>2.0302</v>
      </c>
      <c r="U29" s="27" t="n">
        <v>0.01748931208705791</v>
      </c>
      <c r="V29" s="28" t="n">
        <v>2</v>
      </c>
      <c r="W29" s="28" t="n">
        <v>2</v>
      </c>
      <c r="X29" s="53" t="n">
        <v>2</v>
      </c>
      <c r="Y29" s="26" t="n">
        <v>1.055578016424511</v>
      </c>
      <c r="Z29" s="26" t="n">
        <v>2.080459570435881</v>
      </c>
      <c r="AA29" s="27" t="n">
        <v>0.01701382171492444</v>
      </c>
      <c r="AB29" s="28" t="n">
        <v>5</v>
      </c>
      <c r="AC29" s="28" t="n">
        <v>5</v>
      </c>
      <c r="AD29" s="53" t="n">
        <v>5</v>
      </c>
      <c r="AE29" s="26" t="n">
        <v>1.035731026785714</v>
      </c>
      <c r="AF29" s="26" t="n">
        <v>2.065408761160714</v>
      </c>
      <c r="AG29" s="27" t="n">
        <v>0.1095394696627016</v>
      </c>
      <c r="AH29" s="28" t="n">
        <v>3</v>
      </c>
      <c r="AI29" s="28" t="n">
        <v>3</v>
      </c>
      <c r="AJ29" s="54" t="n">
        <v>3</v>
      </c>
    </row>
    <row r="30" spans="1:36">
      <c r="B30" s="55" t="n"/>
      <c r="C30" s="50" t="s">
        <v>52</v>
      </c>
      <c r="D30" s="51" t="n">
        <v>7</v>
      </c>
      <c r="E30" s="51" t="n">
        <v>7</v>
      </c>
      <c r="F30" s="52" t="n">
        <v>7</v>
      </c>
      <c r="G30" s="26" t="n">
        <v>0.635210477562783</v>
      </c>
      <c r="H30" s="26" t="n">
        <v>1.797117898312063</v>
      </c>
      <c r="I30" s="27" t="n">
        <v>0.2932173125770188</v>
      </c>
      <c r="J30" s="28" t="n">
        <v>6</v>
      </c>
      <c r="K30" s="28" t="n">
        <v>6</v>
      </c>
      <c r="L30" s="53" t="n">
        <v>6</v>
      </c>
      <c r="M30" s="26" t="n">
        <v>0.6254782608695653</v>
      </c>
      <c r="N30" s="26" t="n">
        <v>1.777797739130435</v>
      </c>
      <c r="O30" s="27" t="n">
        <v>0.1370104556848616</v>
      </c>
      <c r="P30" s="28" t="n">
        <v>7</v>
      </c>
      <c r="Q30" s="28" t="n">
        <v>7</v>
      </c>
      <c r="R30" s="53" t="n">
        <v>7</v>
      </c>
      <c r="S30" s="26" t="n">
        <v>0.8294318181818182</v>
      </c>
      <c r="T30" s="26" t="n">
        <v>2.008772727272727</v>
      </c>
      <c r="U30" s="27" t="n">
        <v>0.05985231247570929</v>
      </c>
      <c r="V30" s="28" t="n">
        <v>1</v>
      </c>
      <c r="W30" s="28" t="n">
        <v>1</v>
      </c>
      <c r="X30" s="53" t="n">
        <v>1</v>
      </c>
      <c r="Y30" s="26" t="n">
        <v>0.6497815067480517</v>
      </c>
      <c r="Z30" s="26" t="n">
        <v>1.803612794897248</v>
      </c>
      <c r="AA30" s="27" t="n">
        <v>0.2544388555706025</v>
      </c>
      <c r="AB30" s="28" t="n">
        <v>5</v>
      </c>
      <c r="AC30" s="28" t="n">
        <v>5</v>
      </c>
      <c r="AD30" s="53" t="n">
        <v>5</v>
      </c>
      <c r="AE30" s="26" t="n">
        <v>0.6198298969072166</v>
      </c>
      <c r="AF30" s="26" t="n">
        <v>1.78987220790378</v>
      </c>
      <c r="AG30" s="27" t="n">
        <v>0.1423035074635989</v>
      </c>
      <c r="AH30" s="28" t="n">
        <v>1</v>
      </c>
      <c r="AI30" s="28" t="n">
        <v>1</v>
      </c>
      <c r="AJ30" s="54" t="n">
        <v>1</v>
      </c>
    </row>
    <row r="31" spans="1:36">
      <c r="B31" s="55" t="n"/>
      <c r="C31" s="50" t="s">
        <v>53</v>
      </c>
      <c r="D31" s="51" t="n">
        <v>2</v>
      </c>
      <c r="E31" s="51" t="n">
        <v>2</v>
      </c>
      <c r="F31" s="52" t="n">
        <v>2</v>
      </c>
      <c r="G31" s="26" t="n">
        <v>0.3396773954864964</v>
      </c>
      <c r="H31" s="26" t="n">
        <v>1.41831982981872</v>
      </c>
      <c r="I31" s="27" t="n">
        <v>0.1359555365540829</v>
      </c>
      <c r="J31" s="28" t="n">
        <v>5</v>
      </c>
      <c r="K31" s="28" t="n">
        <v>5</v>
      </c>
      <c r="L31" s="53" t="n">
        <v>5</v>
      </c>
      <c r="M31" s="26" t="n">
        <v>0.3224762630109165</v>
      </c>
      <c r="N31" s="26" t="n">
        <v>1.403707539984768</v>
      </c>
      <c r="O31" s="27" t="n">
        <v>0.1877162382409287</v>
      </c>
      <c r="P31" s="28" t="n">
        <v>4</v>
      </c>
      <c r="Q31" s="28" t="n">
        <v>4</v>
      </c>
      <c r="R31" s="53" t="n">
        <v>4</v>
      </c>
      <c r="S31" s="26" t="n">
        <v>0.468375</v>
      </c>
      <c r="T31" s="26" t="n">
        <v>1.560983108108108</v>
      </c>
      <c r="U31" s="27" t="n">
        <v>0.0575204041974349</v>
      </c>
      <c r="V31" s="28" t="n">
        <v>5</v>
      </c>
      <c r="W31" s="28" t="n">
        <v>5</v>
      </c>
      <c r="X31" s="53" t="n">
        <v>5</v>
      </c>
      <c r="Y31" s="26" t="n">
        <v>0.3400378802747792</v>
      </c>
      <c r="Z31" s="26" t="n">
        <v>1.435965456329735</v>
      </c>
      <c r="AA31" s="27" t="n">
        <v>0.1369005395412824</v>
      </c>
      <c r="AB31" s="28" t="n">
        <v>3</v>
      </c>
      <c r="AC31" s="28" t="n">
        <v>3</v>
      </c>
      <c r="AD31" s="53" t="n">
        <v>3</v>
      </c>
      <c r="AE31" s="26" t="n">
        <v>0.3363382094792276</v>
      </c>
      <c r="AF31" s="26" t="n">
        <v>1.432229666471621</v>
      </c>
      <c r="AG31" s="27" t="n">
        <v>0.1044659339584581</v>
      </c>
      <c r="AH31" s="28" t="n">
        <v>1</v>
      </c>
      <c r="AI31" s="28" t="n">
        <v>1</v>
      </c>
      <c r="AJ31" s="54" t="n">
        <v>1</v>
      </c>
    </row>
    <row r="32" spans="1:36">
      <c r="B32" s="55" t="n"/>
      <c r="C32" s="50" t="s">
        <v>54</v>
      </c>
      <c r="D32" s="51" t="n">
        <v>1</v>
      </c>
      <c r="E32" s="51" t="n">
        <v>1</v>
      </c>
      <c r="F32" s="52" t="n">
        <v>1</v>
      </c>
      <c r="G32" s="26" t="n">
        <v>0.4356521739130435</v>
      </c>
      <c r="H32" s="26" t="n">
        <v>2.560217391304348</v>
      </c>
      <c r="I32" s="27" t="n">
        <v>0.0002313708724190831</v>
      </c>
      <c r="J32" s="28" t="n">
        <v>9</v>
      </c>
      <c r="K32" s="28" t="n">
        <v>9</v>
      </c>
      <c r="L32" s="53" t="n">
        <v>9</v>
      </c>
      <c r="M32" s="26" t="n">
        <v>0</v>
      </c>
      <c r="N32" s="26" t="n">
        <v>0</v>
      </c>
      <c r="O32" s="27" t="n">
        <v>0</v>
      </c>
      <c r="P32" s="28" t="n">
        <v>1</v>
      </c>
      <c r="Q32" s="28" t="n">
        <v>1</v>
      </c>
      <c r="R32" s="53" t="n">
        <v>1</v>
      </c>
      <c r="S32" s="26" t="n">
        <v>0</v>
      </c>
      <c r="T32" s="26" t="n">
        <v>0</v>
      </c>
      <c r="U32" s="27" t="n">
        <v>0</v>
      </c>
      <c r="V32" s="28" t="n">
        <v>8</v>
      </c>
      <c r="W32" s="28" t="n">
        <v>8</v>
      </c>
      <c r="X32" s="53" t="n">
        <v>8</v>
      </c>
      <c r="Y32" s="26" t="n">
        <v>0</v>
      </c>
      <c r="Z32" s="26" t="n">
        <v>0</v>
      </c>
      <c r="AA32" s="27" t="n">
        <v>0</v>
      </c>
      <c r="AB32" s="28" t="n">
        <v>5</v>
      </c>
      <c r="AC32" s="28" t="n">
        <v>5</v>
      </c>
      <c r="AD32" s="53" t="n">
        <v>5</v>
      </c>
      <c r="AE32" s="26" t="n">
        <v>0</v>
      </c>
      <c r="AF32" s="26" t="n">
        <v>0</v>
      </c>
      <c r="AG32" s="27" t="n">
        <v>0</v>
      </c>
      <c r="AH32" s="28" t="n">
        <v>4</v>
      </c>
      <c r="AI32" s="28" t="n">
        <v>4</v>
      </c>
      <c r="AJ32" s="54" t="n">
        <v>4</v>
      </c>
    </row>
    <row r="33" spans="1:36">
      <c r="B33" s="55" t="n"/>
      <c r="C33" s="50" t="s">
        <v>55</v>
      </c>
      <c r="D33" s="51" t="n">
        <v>1</v>
      </c>
      <c r="E33" s="51" t="n">
        <v>1</v>
      </c>
      <c r="F33" s="52" t="n">
        <v>1</v>
      </c>
      <c r="G33" s="26" t="n">
        <v>0.8094046767734554</v>
      </c>
      <c r="H33" s="26" t="n">
        <v>1.933328089244851</v>
      </c>
      <c r="I33" s="27" t="n">
        <v>0.07033674521540126</v>
      </c>
      <c r="J33" s="28" t="n">
        <v>1</v>
      </c>
      <c r="K33" s="28" t="n">
        <v>1</v>
      </c>
      <c r="L33" s="53" t="n">
        <v>1</v>
      </c>
      <c r="M33" s="26" t="n">
        <v>0.828360020661157</v>
      </c>
      <c r="N33" s="26" t="n">
        <v>1.996604855371901</v>
      </c>
      <c r="O33" s="27" t="n">
        <v>0.0461308247314595</v>
      </c>
      <c r="P33" s="28" t="n">
        <v>2</v>
      </c>
      <c r="Q33" s="28" t="n">
        <v>2</v>
      </c>
      <c r="R33" s="53" t="n">
        <v>2</v>
      </c>
      <c r="S33" s="26" t="n">
        <v>0</v>
      </c>
      <c r="T33" s="26" t="n">
        <v>0</v>
      </c>
      <c r="U33" s="27" t="n">
        <v>0</v>
      </c>
      <c r="V33" s="28" t="n">
        <v>7</v>
      </c>
      <c r="W33" s="28" t="n">
        <v>7</v>
      </c>
      <c r="X33" s="53" t="n">
        <v>7</v>
      </c>
      <c r="Y33" s="26" t="n">
        <v>0.8419947916666666</v>
      </c>
      <c r="Z33" s="26" t="n">
        <v>1.985832291666666</v>
      </c>
      <c r="AA33" s="27" t="n">
        <v>0.05158960469465403</v>
      </c>
      <c r="AB33" s="28" t="n">
        <v>5</v>
      </c>
      <c r="AC33" s="28" t="n">
        <v>5</v>
      </c>
      <c r="AD33" s="53" t="n">
        <v>5</v>
      </c>
      <c r="AE33" s="26" t="n">
        <v>0.7960838881491346</v>
      </c>
      <c r="AF33" s="26" t="n">
        <v>1.934065246338216</v>
      </c>
      <c r="AG33" s="27" t="n">
        <v>0.0459063290829737</v>
      </c>
      <c r="AH33" s="28" t="n">
        <v>1</v>
      </c>
      <c r="AI33" s="28" t="n">
        <v>1</v>
      </c>
      <c r="AJ33" s="54" t="n">
        <v>1</v>
      </c>
    </row>
    <row r="34" spans="1:36">
      <c r="B34" s="56" t="n"/>
      <c r="C34" s="50" t="s">
        <v>46</v>
      </c>
      <c r="D34" s="51" t="n">
        <v>7</v>
      </c>
      <c r="E34" s="51" t="n">
        <v>7</v>
      </c>
      <c r="F34" s="52" t="n">
        <v>7</v>
      </c>
      <c r="G34" s="26" t="n">
        <v>1.338921568627451</v>
      </c>
      <c r="H34" s="26" t="n">
        <v>3.844196078431373</v>
      </c>
      <c r="I34" s="27" t="n">
        <v>0.002565198802907225</v>
      </c>
      <c r="J34" s="28" t="n">
        <v>3</v>
      </c>
      <c r="K34" s="28" t="n">
        <v>3</v>
      </c>
      <c r="L34" s="53" t="n">
        <v>3</v>
      </c>
      <c r="M34" s="26" t="n">
        <v>0</v>
      </c>
      <c r="N34" s="26" t="n">
        <v>0</v>
      </c>
      <c r="O34" s="27" t="n">
        <v>0</v>
      </c>
      <c r="P34" s="28" t="n">
        <v>8</v>
      </c>
      <c r="Q34" s="28" t="n">
        <v>8</v>
      </c>
      <c r="R34" s="53" t="n">
        <v>8</v>
      </c>
      <c r="S34" s="26" t="n">
        <v>0</v>
      </c>
      <c r="T34" s="26" t="n">
        <v>0</v>
      </c>
      <c r="U34" s="27" t="n">
        <v>0</v>
      </c>
      <c r="V34" s="28" t="n">
        <v>3</v>
      </c>
      <c r="W34" s="28" t="n">
        <v>3</v>
      </c>
      <c r="X34" s="53" t="n">
        <v>3</v>
      </c>
      <c r="Y34" s="26" t="n">
        <v>0.7277</v>
      </c>
      <c r="Z34" s="26" t="n">
        <v>1.607075</v>
      </c>
      <c r="AA34" s="27" t="n">
        <v>0.001074783431138626</v>
      </c>
      <c r="AB34" s="28" t="n">
        <v>8</v>
      </c>
      <c r="AC34" s="28" t="n">
        <v>8</v>
      </c>
      <c r="AD34" s="53" t="n">
        <v>8</v>
      </c>
      <c r="AE34" s="26" t="n">
        <v>0</v>
      </c>
      <c r="AF34" s="26" t="n">
        <v>0</v>
      </c>
      <c r="AG34" s="27" t="n">
        <v>0</v>
      </c>
      <c r="AH34" s="28" t="n">
        <v>6</v>
      </c>
      <c r="AI34" s="28" t="n">
        <v>6</v>
      </c>
      <c r="AJ34" s="54" t="n">
        <v>6</v>
      </c>
    </row>
    <row r="35" spans="1:36">
      <c r="B35" s="57" t="s">
        <v>27</v>
      </c>
      <c r="C35" s="58" t="n"/>
      <c r="D35" s="59" t="s">
        <v>56</v>
      </c>
      <c r="E35" s="59" t="s">
        <v>56</v>
      </c>
      <c r="F35" s="60">
        <f>SUM(F17:F34)</f>
        <v/>
      </c>
      <c r="G35" s="59" t="s">
        <v>56</v>
      </c>
      <c r="H35" s="59" t="s">
        <v>56</v>
      </c>
      <c r="I35" s="60">
        <f>SUM(I17:I34)</f>
        <v/>
      </c>
      <c r="J35" s="59" t="s">
        <v>56</v>
      </c>
      <c r="K35" s="59" t="s">
        <v>56</v>
      </c>
      <c r="L35" s="60">
        <f>SUM(L17:L34)</f>
        <v/>
      </c>
      <c r="M35" s="59" t="s">
        <v>56</v>
      </c>
      <c r="N35" s="59" t="s">
        <v>56</v>
      </c>
      <c r="O35" s="60">
        <f>SUM(O17:O34)</f>
        <v/>
      </c>
      <c r="P35" s="59" t="s">
        <v>56</v>
      </c>
      <c r="Q35" s="59" t="s">
        <v>56</v>
      </c>
      <c r="R35" s="60">
        <f>SUM(R17:R34)</f>
        <v/>
      </c>
      <c r="S35" s="59" t="s">
        <v>56</v>
      </c>
      <c r="T35" s="59" t="s">
        <v>56</v>
      </c>
      <c r="U35" s="60">
        <f>SUM(U17:U34)</f>
        <v/>
      </c>
      <c r="V35" s="59" t="s">
        <v>56</v>
      </c>
      <c r="W35" s="59" t="s">
        <v>56</v>
      </c>
      <c r="X35" s="60">
        <f>SUM(X17:X34)</f>
        <v/>
      </c>
      <c r="Y35" s="59" t="s">
        <v>56</v>
      </c>
      <c r="Z35" s="59" t="s">
        <v>56</v>
      </c>
      <c r="AA35" s="60">
        <f>SUM(AA17:AA34)</f>
        <v/>
      </c>
      <c r="AB35" s="59" t="s">
        <v>56</v>
      </c>
      <c r="AC35" s="59" t="s">
        <v>56</v>
      </c>
      <c r="AD35" s="60">
        <f>SUM(AD17:AD34)</f>
        <v/>
      </c>
      <c r="AE35" s="59" t="s">
        <v>56</v>
      </c>
      <c r="AF35" s="59" t="s">
        <v>56</v>
      </c>
      <c r="AG35" s="60">
        <f>SUM(AG17:AG34)</f>
        <v/>
      </c>
      <c r="AH35" s="59" t="s">
        <v>56</v>
      </c>
      <c r="AI35" s="59" t="s">
        <v>56</v>
      </c>
      <c r="AJ35" s="61">
        <f>SUM(AJ17:AJ34)</f>
        <v/>
      </c>
    </row>
  </sheetData>
  <mergeCells count="28">
    <mergeCell ref="B17:B25"/>
    <mergeCell ref="B26:B34"/>
    <mergeCell ref="B35:C35"/>
    <mergeCell ref="C16"/>
    <mergeCell ref="C17"/>
    <mergeCell ref="C18"/>
    <mergeCell ref="C19"/>
    <mergeCell ref="C20"/>
    <mergeCell ref="C21"/>
    <mergeCell ref="C22"/>
    <mergeCell ref="C23"/>
    <mergeCell ref="C24"/>
    <mergeCell ref="C25"/>
    <mergeCell ref="C26"/>
    <mergeCell ref="C27"/>
    <mergeCell ref="C28"/>
    <mergeCell ref="C29"/>
    <mergeCell ref="C30"/>
    <mergeCell ref="C31"/>
    <mergeCell ref="C32"/>
    <mergeCell ref="C33"/>
    <mergeCell ref="C34"/>
    <mergeCell ref="D15:F15"/>
    <mergeCell ref="G15:L15"/>
    <mergeCell ref="M15:R15"/>
    <mergeCell ref="S15:X15"/>
    <mergeCell ref="Y15:AD15"/>
    <mergeCell ref="AE15:AJ1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2018-03-08T09:55:49Z</dcterms:created>
  <dcterms:modified xsi:type="dcterms:W3CDTF">2018-03-22T06:37:28Z</dcterms:modified>
  <cp:lastModifiedBy>Zhitao Wang</cp:lastModifiedBy>
</cp:coreProperties>
</file>